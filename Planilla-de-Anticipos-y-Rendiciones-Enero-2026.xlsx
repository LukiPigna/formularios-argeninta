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Users\cgutierrez\Documents\Formularios actualizados\"/>
    </mc:Choice>
  </mc:AlternateContent>
  <xr:revisionPtr revIDLastSave="0" documentId="13_ncr:1_{554943F9-92AE-4A0E-9EF1-F7C21BF8DCCE}" xr6:coauthVersionLast="47" xr6:coauthVersionMax="47" xr10:uidLastSave="{00000000-0000-0000-0000-000000000000}"/>
  <bookViews>
    <workbookView xWindow="20370" yWindow="-120" windowWidth="20730" windowHeight="11040" tabRatio="866" xr2:uid="{00000000-000D-0000-FFFF-FFFF00000000}"/>
  </bookViews>
  <sheets>
    <sheet name="Formul. Anticipos y Rendiciones" sheetId="6" r:id="rId1"/>
    <sheet name="Listado" sheetId="10" r:id="rId2"/>
    <sheet name="Info Relevante" sheetId="7" r:id="rId3"/>
    <sheet name="Informe de actividades" sheetId="9" r:id="rId4"/>
    <sheet name="Ficha ident. Financiera" sheetId="8" r:id="rId5"/>
    <sheet name="Tablas" sheetId="3" state="hidden" r:id="rId6"/>
  </sheets>
  <externalReferences>
    <externalReference r:id="rId7"/>
  </externalReferences>
  <definedNames>
    <definedName name="_xlnm.Print_Area" localSheetId="0">'Formul. Anticipos y Rendiciones'!$A$1:$H$47</definedName>
    <definedName name="codigos">#REF!</definedName>
    <definedName name="comp">Listado!$E$2:$E$145</definedName>
    <definedName name="proy">#REF!</definedName>
    <definedName name="tabla">Listado!$E$2:$F$145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8" i="10" l="1"/>
  <c r="E129" i="10"/>
  <c r="E130" i="10"/>
  <c r="E131" i="10"/>
  <c r="E132" i="10"/>
  <c r="E133" i="10"/>
  <c r="E134" i="10"/>
  <c r="E135" i="10"/>
  <c r="E136" i="10"/>
  <c r="E137" i="10"/>
  <c r="E138" i="10"/>
  <c r="E139" i="10"/>
  <c r="E140" i="10"/>
  <c r="E141" i="10"/>
  <c r="E123" i="10" l="1"/>
  <c r="E124" i="10"/>
  <c r="E125" i="10"/>
  <c r="E126" i="10"/>
  <c r="E127" i="10"/>
  <c r="E121" i="10" l="1"/>
  <c r="E122" i="10"/>
  <c r="E120" i="10" l="1"/>
  <c r="E119" i="10"/>
  <c r="E118" i="10"/>
  <c r="E117" i="10"/>
  <c r="E116" i="10"/>
  <c r="E115" i="10"/>
  <c r="E114" i="10"/>
  <c r="E113" i="10"/>
  <c r="E112" i="10"/>
  <c r="E111" i="10"/>
  <c r="E110" i="10"/>
  <c r="E109" i="10"/>
  <c r="E107" i="10" l="1"/>
  <c r="F107" i="10"/>
  <c r="E108" i="10"/>
  <c r="F108" i="10"/>
  <c r="F109" i="10"/>
  <c r="F110" i="10"/>
  <c r="F106" i="10" l="1"/>
  <c r="E106" i="10"/>
  <c r="F105" i="10"/>
  <c r="E105" i="10"/>
  <c r="F104" i="10"/>
  <c r="E104" i="10"/>
  <c r="F103" i="10"/>
  <c r="E103" i="10"/>
  <c r="F102" i="10"/>
  <c r="E102" i="10"/>
  <c r="E101" i="10" l="1"/>
  <c r="F101" i="10"/>
  <c r="F100" i="10" l="1"/>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F2"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C6" i="6" l="1"/>
  <c r="E45" i="6"/>
  <c r="D45" i="6"/>
  <c r="F33" i="6"/>
  <c r="E33" i="6"/>
  <c r="D33" i="6"/>
  <c r="E18" i="6"/>
  <c r="E34" i="6" s="1"/>
  <c r="D18" i="6"/>
  <c r="D34" i="6" s="1"/>
  <c r="E6" i="6"/>
  <c r="E36" i="6" l="1"/>
  <c r="D36" i="6"/>
  <c r="E35" i="6"/>
  <c r="D3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Ernesto Fernandez</author>
  </authors>
  <commentList>
    <comment ref="A5" authorId="0" shapeId="0" xr:uid="{00000000-0006-0000-0000-000001000000}">
      <text>
        <r>
          <rPr>
            <b/>
            <sz val="9"/>
            <color indexed="81"/>
            <rFont val="Tahoma"/>
            <family val="2"/>
          </rPr>
          <t xml:space="preserve">Seleccionar el código/componente correspondiente al proyecto de la lista desplegable </t>
        </r>
      </text>
    </comment>
    <comment ref="A6" authorId="0" shapeId="0" xr:uid="{00000000-0006-0000-0000-000002000000}">
      <text>
        <r>
          <rPr>
            <b/>
            <sz val="9"/>
            <color indexed="81"/>
            <rFont val="Tahoma"/>
            <family val="2"/>
          </rPr>
          <t>Se completa de manera automática al seleccionar el Proyecto</t>
        </r>
      </text>
    </comment>
    <comment ref="A7" authorId="0" shapeId="0" xr:uid="{00000000-0006-0000-0000-000003000000}">
      <text>
        <r>
          <rPr>
            <b/>
            <sz val="9"/>
            <color indexed="81"/>
            <rFont val="Tahoma"/>
            <family val="2"/>
          </rPr>
          <t xml:space="preserve">Colocar el nombre del organismo. Si el gasto se afecta a más de una institución, indicar el porcentaje de afectación que corresponda a cada uno de ellas.  </t>
        </r>
      </text>
    </comment>
    <comment ref="A8" authorId="0" shapeId="0" xr:uid="{00000000-0006-0000-0000-000004000000}">
      <text>
        <r>
          <rPr>
            <b/>
            <sz val="9"/>
            <color indexed="81"/>
            <rFont val="Tahoma"/>
            <family val="2"/>
          </rPr>
          <t>Indicar actividad que se llevará a cabo con el anticipo solicitado. Ej: Comisión para recolección de muestras para análisis</t>
        </r>
      </text>
    </comment>
    <comment ref="A9" authorId="0" shapeId="0" xr:uid="{00000000-0006-0000-0000-000005000000}">
      <text>
        <r>
          <rPr>
            <b/>
            <sz val="9"/>
            <color indexed="81"/>
            <rFont val="Tahoma"/>
            <family val="2"/>
          </rPr>
          <t>Nombre y Apellido del Beneficiario del Anticipo</t>
        </r>
      </text>
    </comment>
    <comment ref="A13" authorId="0" shapeId="0" xr:uid="{00000000-0006-0000-0000-000006000000}">
      <text>
        <r>
          <rPr>
            <b/>
            <sz val="9"/>
            <color indexed="81"/>
            <rFont val="Tahoma"/>
            <family val="2"/>
          </rPr>
          <t xml:space="preserve">Indicar “para qué” se utilizarán los fondos del anticipo (combustible, pasajes, viáticos, etc.)
</t>
        </r>
      </text>
    </comment>
    <comment ref="B13" authorId="0" shapeId="0" xr:uid="{00000000-0006-0000-0000-000007000000}">
      <text>
        <r>
          <rPr>
            <b/>
            <sz val="9"/>
            <color indexed="81"/>
            <rFont val="Tahoma"/>
            <family val="2"/>
          </rPr>
          <t>Seleccionar de la lista el Rubro Presupuestario afectado</t>
        </r>
      </text>
    </comment>
    <comment ref="C13" authorId="0" shapeId="0" xr:uid="{00000000-0006-0000-0000-000008000000}">
      <text>
        <r>
          <rPr>
            <b/>
            <sz val="9"/>
            <color indexed="81"/>
            <rFont val="Tahoma"/>
            <family val="2"/>
          </rPr>
          <t>Seleccionar la Actividad del Proyecto a los que se afecta el gasto</t>
        </r>
      </text>
    </comment>
    <comment ref="A20" authorId="0" shapeId="0" xr:uid="{00000000-0006-0000-0000-000009000000}">
      <text>
        <r>
          <rPr>
            <b/>
            <sz val="9"/>
            <color indexed="81"/>
            <rFont val="Tahoma"/>
            <family val="2"/>
          </rPr>
          <t>Emitida por home banking o similar. En caso de pago a una cuenta en el exterior, se deberá adjuntar la Ficha de Identificación Financiera</t>
        </r>
      </text>
    </comment>
    <comment ref="A26" authorId="0" shapeId="0" xr:uid="{00000000-0006-0000-0000-00000A000000}">
      <text>
        <r>
          <rPr>
            <b/>
            <sz val="9"/>
            <color indexed="81"/>
            <rFont val="Tahoma"/>
            <family val="2"/>
          </rPr>
          <t>Indicar “para qué” se utilizaron los fondos del anticipo (combustible, pasajes, etc.)</t>
        </r>
        <r>
          <rPr>
            <sz val="9"/>
            <color indexed="81"/>
            <rFont val="Tahoma"/>
            <family val="2"/>
          </rPr>
          <t xml:space="preserve">
</t>
        </r>
      </text>
    </comment>
    <comment ref="B26" authorId="0" shapeId="0" xr:uid="{00000000-0006-0000-0000-00000B000000}">
      <text>
        <r>
          <rPr>
            <b/>
            <sz val="9"/>
            <color indexed="81"/>
            <rFont val="Tahoma"/>
            <family val="2"/>
          </rPr>
          <t>Seleccionar de la lista el Rubro Presupuestario afectado</t>
        </r>
      </text>
    </comment>
    <comment ref="C26" authorId="0" shapeId="0" xr:uid="{00000000-0006-0000-0000-00000C000000}">
      <text>
        <r>
          <rPr>
            <b/>
            <sz val="9"/>
            <color indexed="81"/>
            <rFont val="Tahoma"/>
            <family val="2"/>
          </rPr>
          <t>Seleccionar la Actividad y Producto del Proyecto a los que se afecta el gasto</t>
        </r>
      </text>
    </comment>
    <comment ref="F26" authorId="0" shapeId="0" xr:uid="{00000000-0006-0000-0000-00000D000000}">
      <text>
        <r>
          <rPr>
            <b/>
            <sz val="9"/>
            <color indexed="81"/>
            <rFont val="Tahoma"/>
            <family val="2"/>
          </rPr>
          <t>Completar solo para gastos efectuados en otra Moneda Extranjera distinta a Pesos, Dólares o Euros</t>
        </r>
      </text>
    </comment>
    <comment ref="G26" authorId="0" shapeId="0" xr:uid="{00000000-0006-0000-0000-00000E000000}">
      <text>
        <r>
          <rPr>
            <b/>
            <sz val="9"/>
            <color indexed="81"/>
            <rFont val="Tahoma"/>
            <family val="2"/>
          </rPr>
          <t>Numeración correlativa de los comprobantes</t>
        </r>
      </text>
    </comment>
    <comment ref="H26" authorId="0" shapeId="0" xr:uid="{00000000-0006-0000-0000-00000F000000}">
      <text>
        <r>
          <rPr>
            <b/>
            <sz val="9"/>
            <color indexed="81"/>
            <rFont val="Tahoma"/>
            <family val="2"/>
          </rPr>
          <t>Fecha que figura en el Ticket, Factura o Documento que se envíe como respaldatorio del gasto</t>
        </r>
      </text>
    </comment>
    <comment ref="B39" authorId="0" shapeId="0" xr:uid="{00000000-0006-0000-0000-000010000000}">
      <text>
        <r>
          <rPr>
            <b/>
            <sz val="9"/>
            <color indexed="81"/>
            <rFont val="Tahoma"/>
            <family val="2"/>
          </rPr>
          <t>Ver normativa de viáticos</t>
        </r>
      </text>
    </comment>
  </commentList>
</comments>
</file>

<file path=xl/sharedStrings.xml><?xml version="1.0" encoding="utf-8"?>
<sst xmlns="http://schemas.openxmlformats.org/spreadsheetml/2006/main" count="605" uniqueCount="487">
  <si>
    <t>Concepto del gasto</t>
  </si>
  <si>
    <t>Partida Presupuestaria</t>
  </si>
  <si>
    <t>1.2</t>
  </si>
  <si>
    <t>TOTAL:</t>
  </si>
  <si>
    <t>Monto rendido</t>
  </si>
  <si>
    <t>Monto del anticipo</t>
  </si>
  <si>
    <t xml:space="preserve">Complemento a pagar al beneficiario </t>
  </si>
  <si>
    <t>Devolución por parte del beneficiario (adjuntar comprobante transferencia)</t>
  </si>
  <si>
    <t>Rendición de Anticipo</t>
  </si>
  <si>
    <t>Número de orden de Comprobante</t>
  </si>
  <si>
    <t>Concepto del Comprobante</t>
  </si>
  <si>
    <t>Fecha del Comprobante</t>
  </si>
  <si>
    <t>Institución a la que se afecta el gasto:</t>
  </si>
  <si>
    <t>Código</t>
  </si>
  <si>
    <t>Descripción</t>
  </si>
  <si>
    <t>FINANCIAMIENTO</t>
  </si>
  <si>
    <t>5.2.14</t>
  </si>
  <si>
    <t>USDA</t>
  </si>
  <si>
    <t>OTROS</t>
  </si>
  <si>
    <t>5.2.15</t>
  </si>
  <si>
    <t>PIRBRIGHT</t>
  </si>
  <si>
    <t>FONTAGRO</t>
  </si>
  <si>
    <t>5.2.19</t>
  </si>
  <si>
    <t>JIRCAS</t>
  </si>
  <si>
    <t>5.2.21</t>
  </si>
  <si>
    <t>GIZ-SPIPA</t>
  </si>
  <si>
    <t>5.2.22</t>
  </si>
  <si>
    <t>H2020 - GA Nº 823967 – ProCEedS</t>
  </si>
  <si>
    <t>EU-H2020</t>
  </si>
  <si>
    <t>FTG-ATN/RF-16926-RG - Leguminosas</t>
  </si>
  <si>
    <t>FTG-ATN/RF-17232-RG- HLB</t>
  </si>
  <si>
    <t xml:space="preserve">IVVN    International Veterinary Vaccinology Network </t>
  </si>
  <si>
    <t>5.2.33</t>
  </si>
  <si>
    <t xml:space="preserve">BAYER Grants4Biologicals – Appl. Nº 033 </t>
  </si>
  <si>
    <t>H2020 GA Nº 862849 FERTIMANURE</t>
  </si>
  <si>
    <t xml:space="preserve">H2020 - GA Nº 857804 – DIBICOO </t>
  </si>
  <si>
    <t>UNIVERSIDAD DE GEORGIA</t>
  </si>
  <si>
    <t>PROCISUR- HLB</t>
  </si>
  <si>
    <t>PROCISUR</t>
  </si>
  <si>
    <t>INIA - INTA - FA (REDD+) “ Emisión y Remoción de GEI”</t>
  </si>
  <si>
    <t>5.2.42</t>
  </si>
  <si>
    <t>Acuerdo de Transferencia INTA - VETAL</t>
  </si>
  <si>
    <t>Curso Virtual IUIS-VIC</t>
  </si>
  <si>
    <t>FTG- ATN/RF-17245-RG(RG-T3387) - Regante</t>
  </si>
  <si>
    <t>5.2.45</t>
  </si>
  <si>
    <t>Carta Acuerdo N° 3/2020 - INIDEP CTMFM</t>
  </si>
  <si>
    <t>5.2.47</t>
  </si>
  <si>
    <t>PROCISUR-Leguminosas-FTG</t>
  </si>
  <si>
    <t>Universidad de Georgia (UGA) - Carbón de maní</t>
  </si>
  <si>
    <t>5.2.50</t>
  </si>
  <si>
    <t>Orden de trabajo – ERM Argentina S.A.</t>
  </si>
  <si>
    <t>H2020 Phy2Climate - GA N° 101006912</t>
  </si>
  <si>
    <t>FTG. ATN/RF-18136-RG (RG-T3584)-Coccidiosis Aviar</t>
  </si>
  <si>
    <t>FTG- ATN/RF-17950-RG -Eficiencia del Uso del Agua- Co ejec DGI</t>
  </si>
  <si>
    <t>FTG-ATN/RF-18078-RG (RG-T3587)- AGTECH LECHERIA INTELIGENTE</t>
  </si>
  <si>
    <t>FTG- ATN/RF-17950-RG -Eficiencia del Uso del Agua- Co ejec INTA</t>
  </si>
  <si>
    <t>FTG-ATN/RF-18077-RG- Gestión del Pasto- Co ejec INTA</t>
  </si>
  <si>
    <t>FTG-ATN/RF-18079-RG (RG-T3585)- Productividad Bovina</t>
  </si>
  <si>
    <t>H2020 - SOILGUARD - GA N° 101000371</t>
  </si>
  <si>
    <t xml:space="preserve">Carta Acuerdo INTA-FA DIBICOO  </t>
  </si>
  <si>
    <t>Carta Acuerdo INTA - FA - INIA REDD +  “ Emisión y Remoción de GEI”</t>
  </si>
  <si>
    <t>5.2.66</t>
  </si>
  <si>
    <t xml:space="preserve">Universidad de Liverpool </t>
  </si>
  <si>
    <t>5.2.67</t>
  </si>
  <si>
    <t>BAYER - Grants4 Ag Initiative</t>
  </si>
  <si>
    <t>FTG-ATN/RF-18105-RG-Arroz  Productivo</t>
  </si>
  <si>
    <t xml:space="preserve">STE N°2855-DSM </t>
  </si>
  <si>
    <t>5.2.70</t>
  </si>
  <si>
    <t>Contrato IAEA N° 20709</t>
  </si>
  <si>
    <t xml:space="preserve">Carta Acuerdo INTA -FAO ( TCP/RLA/3805) </t>
  </si>
  <si>
    <t xml:space="preserve">PROCISUR – EDICIÓN GÉNICA </t>
  </si>
  <si>
    <t>5.2.73</t>
  </si>
  <si>
    <t>INTEGRITY</t>
  </si>
  <si>
    <t xml:space="preserve">Carta Acuerdo INTA - FA - H2020 FERTIMANURE  </t>
  </si>
  <si>
    <t>Carta Acuerdo INTA - FA – REZATEC</t>
  </si>
  <si>
    <t>FTG- ATN/RR-18757-RG - EDICION GENICA</t>
  </si>
  <si>
    <t>FTG-ATN/RF-18786-RG - OXIDO NITROSO</t>
  </si>
  <si>
    <t>STE N° 2942 INTA-VETAL</t>
  </si>
  <si>
    <t>5.2.79</t>
  </si>
  <si>
    <t>The Nature Conservancy - Colecciones Nº 3, 4 y 5</t>
  </si>
  <si>
    <t>5.2.81</t>
  </si>
  <si>
    <t>C/A N° 4/2021 - INIDEP - IFOP</t>
  </si>
  <si>
    <t>5.2.82</t>
  </si>
  <si>
    <t>ACA- ATN/RR-18757-RG - EDICION GENICA</t>
  </si>
  <si>
    <t>5.2.83</t>
  </si>
  <si>
    <t>Contrato IAEA N° 25103</t>
  </si>
  <si>
    <t>5.2.84</t>
  </si>
  <si>
    <t>C/A INTA-FA Cabana</t>
  </si>
  <si>
    <t>5.2.85</t>
  </si>
  <si>
    <t>BUTANTAN</t>
  </si>
  <si>
    <t>5.2.86</t>
  </si>
  <si>
    <t>Donación ERM Foundation</t>
  </si>
  <si>
    <t>5.2.87</t>
  </si>
  <si>
    <t>H2020 - Se4All - GA N° 101007630</t>
  </si>
  <si>
    <t>5.2.88</t>
  </si>
  <si>
    <t>H2020 - BeXyl - GA N° 10106059</t>
  </si>
  <si>
    <t>5.2.89</t>
  </si>
  <si>
    <t>FTG- ATN/RF-18769-RG y ATN/RF-18770-RG.Secuestro de Carbono - Co Ejec INIA</t>
  </si>
  <si>
    <t>5.2.9</t>
  </si>
  <si>
    <t>Babet Real 5 Acta Acuerdo INTA-FA</t>
  </si>
  <si>
    <t>5.2.90</t>
  </si>
  <si>
    <t>Consultoría CIAT - FA</t>
  </si>
  <si>
    <t>5.2.91</t>
  </si>
  <si>
    <t>AECID - Resolución ELLAS+ Núm. 2022/SPE/0000400088</t>
  </si>
  <si>
    <t>AECID</t>
  </si>
  <si>
    <t>5.2.92</t>
  </si>
  <si>
    <t>Consultoría - CEPAL (Proyecto Facility)</t>
  </si>
  <si>
    <t>TABLAS</t>
  </si>
  <si>
    <t>Componentes/Productos/Actividades</t>
  </si>
  <si>
    <t xml:space="preserve">codigo </t>
  </si>
  <si>
    <t>Rubros presupuestarios</t>
  </si>
  <si>
    <t>validación adjuntos</t>
  </si>
  <si>
    <t>1.1</t>
  </si>
  <si>
    <t>Fontagro</t>
  </si>
  <si>
    <t>SI</t>
  </si>
  <si>
    <t>FONTAGRO- Consultores</t>
  </si>
  <si>
    <t>NO</t>
  </si>
  <si>
    <t>1.3</t>
  </si>
  <si>
    <t>FONTAGRO -Bienes y Servicios</t>
  </si>
  <si>
    <t>1.4</t>
  </si>
  <si>
    <t>FONTAGRO- Materiales e Insumos</t>
  </si>
  <si>
    <t>validación pasajes</t>
  </si>
  <si>
    <t>1.5</t>
  </si>
  <si>
    <t>FONTAGRO-Viajes y Viaticos</t>
  </si>
  <si>
    <t>AEREO</t>
  </si>
  <si>
    <t>1.6</t>
  </si>
  <si>
    <t>FONTAGRO-Capacitacion</t>
  </si>
  <si>
    <t>MICRO</t>
  </si>
  <si>
    <t>1.7</t>
  </si>
  <si>
    <t>FONTAGRO-Gestión del Conocimiento</t>
  </si>
  <si>
    <t>BARCO</t>
  </si>
  <si>
    <t>1.8</t>
  </si>
  <si>
    <t>FONTAGRO-Gastos Administrativos</t>
  </si>
  <si>
    <t>TREN</t>
  </si>
  <si>
    <t>1.9</t>
  </si>
  <si>
    <t>FONTAGRO-Auditoría Externa</t>
  </si>
  <si>
    <t>2.1</t>
  </si>
  <si>
    <t>Horiz2020</t>
  </si>
  <si>
    <t>2.2</t>
  </si>
  <si>
    <t>EU H2O2O-Direct Personnel Cost</t>
  </si>
  <si>
    <t>2.3</t>
  </si>
  <si>
    <t>EU H2O2O-Other Direct Cots Travel</t>
  </si>
  <si>
    <t>2.4</t>
  </si>
  <si>
    <t>EU H2O2O-Other Direct Cots Equipment</t>
  </si>
  <si>
    <t>2.5</t>
  </si>
  <si>
    <t>EU H2O2O-Other Direct Cots Other G&amp;S</t>
  </si>
  <si>
    <t>2.6</t>
  </si>
  <si>
    <t>EU H2O2O-Ditect Costs of Subcontracting</t>
  </si>
  <si>
    <t>3.1</t>
  </si>
  <si>
    <t xml:space="preserve">EU H2O2O-Indirect costs
</t>
  </si>
  <si>
    <t>3.2</t>
  </si>
  <si>
    <t>Procisur</t>
  </si>
  <si>
    <t>3.3</t>
  </si>
  <si>
    <t>PROCISUR -Consultores</t>
  </si>
  <si>
    <t>3.4</t>
  </si>
  <si>
    <t>PROCISUR -Bienes y Servicios</t>
  </si>
  <si>
    <t>3.5</t>
  </si>
  <si>
    <t>PROCISUR -Materiales e Insumos</t>
  </si>
  <si>
    <t>3.6</t>
  </si>
  <si>
    <t>PROCISUR -Viajes y Viaticos</t>
  </si>
  <si>
    <t>4.1</t>
  </si>
  <si>
    <t>PROCISUR -Capacitacion</t>
  </si>
  <si>
    <t>4.2</t>
  </si>
  <si>
    <t>PROCISUR -Gestión del Conocimiento</t>
  </si>
  <si>
    <t>4.3</t>
  </si>
  <si>
    <t>PROCISUR -Gastos Administrativos</t>
  </si>
  <si>
    <t>4.4</t>
  </si>
  <si>
    <t>4.5</t>
  </si>
  <si>
    <t>AECID-Gastos corrientes</t>
  </si>
  <si>
    <t>4.6</t>
  </si>
  <si>
    <t>AECID-Bienes inventariables</t>
  </si>
  <si>
    <t>AECID-Gastos bancarios</t>
  </si>
  <si>
    <t>AECID-Gastos indirectos/administrativos</t>
  </si>
  <si>
    <t>AECID- Auditorías</t>
  </si>
  <si>
    <t>OTROS -Consultores / Contratos / RRHH</t>
  </si>
  <si>
    <t>OTROS -Bienes inventariables</t>
  </si>
  <si>
    <t>OTROS -Gastos operativos (incluye: servicios, materiales, insumos, viajes y viaticos, capacitación, comunicación)</t>
  </si>
  <si>
    <t>OTROS -Asistencia Técnica- FAT</t>
  </si>
  <si>
    <t>OTROS -Gastos Administrativos/Indirectos</t>
  </si>
  <si>
    <t>OTROS -Auditoria Externa</t>
  </si>
  <si>
    <t>OTROS -Otros/imprevistos</t>
  </si>
  <si>
    <t>Código de Proyecto:</t>
  </si>
  <si>
    <t>Completar solo para Viáticos</t>
  </si>
  <si>
    <t>Origen</t>
  </si>
  <si>
    <t>Destino</t>
  </si>
  <si>
    <t>Fecha Origen</t>
  </si>
  <si>
    <t>Hora Origen</t>
  </si>
  <si>
    <t>Hora Finalización</t>
  </si>
  <si>
    <t>Medio de Transporte</t>
  </si>
  <si>
    <t>Importe en Pesos</t>
  </si>
  <si>
    <t>Fecha Finalización</t>
  </si>
  <si>
    <t>Coordinador</t>
  </si>
  <si>
    <t>Fuente de Financiamiento:</t>
  </si>
  <si>
    <t>Beneficiario del Anticipo:</t>
  </si>
  <si>
    <t>CUIT / CUIL del Beneficiario:</t>
  </si>
  <si>
    <t>Adjuntar Constancia de Datos Bancarios</t>
  </si>
  <si>
    <t>Descripción de la actividad a desarrollar:</t>
  </si>
  <si>
    <t>Importe en USD / Euros</t>
  </si>
  <si>
    <t>Importe en otra Moneda Extranjera</t>
  </si>
  <si>
    <t>USD</t>
  </si>
  <si>
    <t>Liquidación de Viáticos en PESOS</t>
  </si>
  <si>
    <t>Valor diario</t>
  </si>
  <si>
    <t>Monto liquidado</t>
  </si>
  <si>
    <t>Moneda de pago</t>
  </si>
  <si>
    <t>Cant de días solicitados</t>
  </si>
  <si>
    <t>Liquidación de Viáticos en USD / Euros</t>
  </si>
  <si>
    <t>Euros</t>
  </si>
  <si>
    <t>Anticipo de Fondos</t>
  </si>
  <si>
    <t>Anticipo de Viáticos</t>
  </si>
  <si>
    <t>Rendición de Viáticos</t>
  </si>
  <si>
    <t>*Se utiliza para:</t>
  </si>
  <si>
    <t>a. Aquellas erogaciones que no se realicen a través de procedimientos específicos (combustible, peajes, etc.).</t>
  </si>
  <si>
    <t>b. Adquisiciones, que por razones de necesidad, practicidad o urgencia resulta más factible y/o conveniente que sean efectuadas localmente por los beneficiarios directos de tales acciones vinculadas al Proyecto.</t>
  </si>
  <si>
    <t>* La Solicitud de Anticipo debe ser enviada con la antelación necesaria al inicio de las actividades programadas para su correcto procesamiento.</t>
  </si>
  <si>
    <t>* Se deberá:</t>
  </si>
  <si>
    <t>b. Adjuntar toda la documentación respaldatoria de los gastos efectuados (facturas, constancias de pago, peajes, tickets, combustible, etc.).</t>
  </si>
  <si>
    <t>Solicitud de Anticipo de Fondos / Viáticos</t>
  </si>
  <si>
    <t>* Viático:</t>
  </si>
  <si>
    <t xml:space="preserve">                                                                                                           * La Solicitud de Anticipo debe ser enviada con la antelación necesaria al inicio de las actividades programadas para su correcto procesamiento.</t>
  </si>
  <si>
    <t>a. Presentar la rendición dentro de las 72 hs. Hábiles de realizada la comisión</t>
  </si>
  <si>
    <t xml:space="preserve">b. Adjuntar toda la documentación respaldatoria que acredite la efectiva realización de la comisión:  Boarding pass, constancias de viaje (comprobantes de gastos realizados en el lugar de la comisión por cada uno de los días de duración), FOESC, etc. </t>
  </si>
  <si>
    <t>*El Responsable Técnico remitirá el formulario vía GYSDOC, dirigido al Área de Vinculación Internacional. O bien, será enviado por el Beneficiario, contando con el aval del Resp. Tecn., registrado y/o expresado dentro de la trazabilidad del trámite.</t>
  </si>
  <si>
    <t>* El Responsable Técnico remitirá el formulario y los comprobantes de respaldo vía GYSDOC, dirigido al Área de Vinculación Internacional. O bien, será enviado por el Beneficiario, contando con el aval del Resp. Tecn., registrado y/o expresado dentro de la trazabilidad del trámite.</t>
  </si>
  <si>
    <t>* El Responsable Técnico remitirá el formulario y doc. De respaldo vía GYSDOC, dirigido al Área de Vinculación Internacional. O bien, será enviado por el Beneficiario, contando con el aval del Resp. Tecn., registrado y/o expresado dentro de la trazabilidad del trámite.</t>
  </si>
  <si>
    <t>* Todo gasto debe estar contemplado en el Plan de Actividades (Plan Operativo Anual, Plan de Adquisiciones, Presupuesto, etc.) vigente al momento de llevar a cabo la actividad para la cual se solicita.</t>
  </si>
  <si>
    <t>a. Presentar la rendición dentro de las 72 hs. Hábiles de haber efectuado los gastos.</t>
  </si>
  <si>
    <t xml:space="preserve">*  Las facturas que se remitan como respaldo de los gastos deberán ser tipo “B” o “C” a nombre de Fundación ArgenINTA, CUIT: 30-67630365-7, IVA Exento, Dirección: Av. Cerviño 3101 – 1º Piso – CP1425AGA – Ciudad de Buenos Aires. </t>
  </si>
  <si>
    <t>Rendición de Fondos</t>
  </si>
  <si>
    <t>* Los beneficiarios de los anticipos solo podrán ser participantes del Proyecto</t>
  </si>
  <si>
    <t>c. En caso de corresponder se podrá solicitar un informe de actividades de la comisión realizada.</t>
  </si>
  <si>
    <t xml:space="preserve">* Resultados posibles de la rendición:                                                                                                                                                                                                                                                                                                                                  a. Rendicion 0: el monto anticipado coincide con el monto rendido. Es decir, el monto solicitado como anticipo coincide con el importe rendido con la documentación respaldatoria
</t>
  </si>
  <si>
    <t xml:space="preserve">b. Devolución de fondos: Existen diferencias con los importes pagados como anticipo a reintegrar por parte de la persona que realizó los gastos. 
Es decir: El monto solicitado como anticipo es mayor al importe rendido con la documentación respaldatoria. (Por ejemplo: por regresar antes de los días programados). En este caso, el beneficiario deberá reintegrar el excedente del importe cobrado. La devolución se efectuará en la cuenta bancaria que indique el Área de Vinculación Internacional y se deberá enviar el comprobante de dicha transferencia para que pueda identificarse el crédito en el extracto bancario.
</t>
  </si>
  <si>
    <t>c. Complemento: Existen diferencias con los importes pagados como anticipo. 
Es decir: El monto solicitado como anticipo es menor al importe rendido con la documentación respaldatoria. En este caso, se le efectuará la transferencia al beneficiario por el excedente gastado. (Por ejemplo: por regresar después de los días programados).</t>
  </si>
  <si>
    <t>E-mail de contacto del Beneficiario:</t>
  </si>
  <si>
    <t>Actividad</t>
  </si>
  <si>
    <t>* La modalidad para el pago de viáticos surge de:</t>
  </si>
  <si>
    <t>a. Normas o disposiciones del Organismo Donante o Financiador</t>
  </si>
  <si>
    <t>b. En su ausencia:</t>
  </si>
  <si>
    <t>b1. Normas o Disposiciones de la Contraparte o Beneficiaria del Proyecto. Ej: Normativa INTA</t>
  </si>
  <si>
    <t>b2. Normas o Disposiciones de la Fundación ArgenINTA (Reintegro de gastos)</t>
  </si>
  <si>
    <t>* Se deberá enviar una solicitud por cada imputación presupuestaria de gastos definida en el Proyecto.                                                                                                                                                  * Será rechazado cualquier pedido de anticipos de fondos para cualquier beneficiario que cuente con algún anticipo pendiente de rendición.</t>
  </si>
  <si>
    <t xml:space="preserve">* Resultados posibles de la rendición:                                                            a. Rendicion 0: No existen diferencias con los importes pagados como anticipo. 
Es decir: El monto solicitado como anticipo coincide con el importe rendido con la documentación respaldatoria.                                                                            b. Devolución de fondos: Existen diferencias con los importes pagados como anticipo a reintegrar por parte de la persona que realizó los gastos. 
Es decir: El monto solicitado como anticipo es mayor al importe rendido con la documentación respaldatoria. En este caso, el beneficiario deberá reintegrar el excedente del importe cobrado. La devolución se efectuará en la cuenta bancaria que indique el Área de Vinculación Internacional y se deberá enviar el comprobante de dicha transferencia para que pueda identificarse el crédito en el extracto bancario.                                                         c. Complemento: Existen diferencias con los importes pagados como anticipo. 
Es decir: El monto solicitado como anticipo es menor al importe rendido con la documentación respaldatoria. En este caso, se le efectuará la transferencia al beneficiario por el excedente gastado.
</t>
  </si>
  <si>
    <t>Es la asignación diaria fija que se paga para atender todos los gastos en concepto de “alojamiento y comida”, con exclusión de los gastos de movilidad y pasajes, que ocasione el desempeño de una comisión de servicio en un lugar alejado a más de cincuenta (50) kilómetros de su asiento habitual. Corresponde el pago de viáticos a toda aquella persona que desarrolle una actividad inherente al Proyecto en una localidad distinta a la de su lugar habitual de trabajo.</t>
  </si>
  <si>
    <t>* Se deberá enviar una solicitud por cada imputación presupuestaria de gastos definida en el Proyecto.                                                                                                                   * Será rechazado cualquier pedido de anticipos de fondos para cualquier beneficiario que cuente con algún anticipo pendiente de rendición.</t>
  </si>
  <si>
    <t>* La modalidad para el pago de viáticos surge de:          a. Normas o disposiciones del Organismo Donante o Financiador.                                                                                b. En su ausencia:                                                                   b1. Normas o Disposiciones de la Contraparte o Beneficiaria del Proyecto. Ej: Normativa INTA.         b2. Normas o Disposiciones de la Fundación ArgenINTA (Reintegro de gastos)</t>
  </si>
  <si>
    <t>5.2.29</t>
  </si>
  <si>
    <t>5.2.30</t>
  </si>
  <si>
    <t>5.2.31</t>
  </si>
  <si>
    <t>5.2.34</t>
  </si>
  <si>
    <t>5.2.35</t>
  </si>
  <si>
    <t>5.2.36</t>
  </si>
  <si>
    <t>5.2.38</t>
  </si>
  <si>
    <t>5.2.39</t>
  </si>
  <si>
    <t>5.2.43</t>
  </si>
  <si>
    <t>5.2.44</t>
  </si>
  <si>
    <t>5.2.48</t>
  </si>
  <si>
    <t>5.2.53</t>
  </si>
  <si>
    <t>5.2.55</t>
  </si>
  <si>
    <t>5.2.56</t>
  </si>
  <si>
    <t>5.2.57</t>
  </si>
  <si>
    <t>5.2.58</t>
  </si>
  <si>
    <t>5.2.59</t>
  </si>
  <si>
    <t>5.2.61</t>
  </si>
  <si>
    <t>5.2.62</t>
  </si>
  <si>
    <t>5.2.63</t>
  </si>
  <si>
    <t>5.2.64</t>
  </si>
  <si>
    <t>5.2.68</t>
  </si>
  <si>
    <t>5.2.69</t>
  </si>
  <si>
    <t>5.2.71</t>
  </si>
  <si>
    <t>5.2.72</t>
  </si>
  <si>
    <t>5.2.74</t>
  </si>
  <si>
    <t>5.2.75</t>
  </si>
  <si>
    <t>5.2.76</t>
  </si>
  <si>
    <t>5.2.77</t>
  </si>
  <si>
    <t>5.2.78</t>
  </si>
  <si>
    <t>5.2.93</t>
  </si>
  <si>
    <t>IAEA N° 24797</t>
  </si>
  <si>
    <t>5.2.94</t>
  </si>
  <si>
    <t xml:space="preserve">FTG - Monitoreo satelital de cantidad y calidad de biomasa disponible en sistemas ganaderos pastoriles de ALC </t>
  </si>
  <si>
    <t>5.2.95</t>
  </si>
  <si>
    <t>5.2.96</t>
  </si>
  <si>
    <t>Distinción franco - argentina - IFA</t>
  </si>
  <si>
    <t>5.2.97</t>
  </si>
  <si>
    <t xml:space="preserve">OEA - MINCYT </t>
  </si>
  <si>
    <t>5.2.98</t>
  </si>
  <si>
    <t xml:space="preserve">Consultoría - PROGREEN (Banco Mundial) </t>
  </si>
  <si>
    <t>5.2.99</t>
  </si>
  <si>
    <t>Contrato de consultoría ICTA - Guatemala</t>
  </si>
  <si>
    <t>Informe de Actividad</t>
  </si>
  <si>
    <t xml:space="preserve">El presente documento cumple en informar las acciones desarrolladas con motivo de realizar el control y seguimiento de las mismas. </t>
  </si>
  <si>
    <t xml:space="preserve">Nombre del Proyecto </t>
  </si>
  <si>
    <r>
      <rPr>
        <b/>
        <sz val="11"/>
        <color theme="1"/>
        <rFont val="Calibri"/>
        <family val="2"/>
        <scheme val="minor"/>
      </rPr>
      <t xml:space="preserve">Fecha de realización de la actividad </t>
    </r>
    <r>
      <rPr>
        <sz val="11"/>
        <color theme="1"/>
        <rFont val="Calibri"/>
        <family val="2"/>
        <scheme val="minor"/>
      </rPr>
      <t>(Indicar fecha y hora)</t>
    </r>
  </si>
  <si>
    <t>Personal Involucrado en la Actividad</t>
  </si>
  <si>
    <t>Ubicación d la Actividad</t>
  </si>
  <si>
    <t>Distancia Unidad INTA Sede de Personal Asistente</t>
  </si>
  <si>
    <t>Objetivos de la Actividad</t>
  </si>
  <si>
    <t>Acciones realizadas en la actividad</t>
  </si>
  <si>
    <t>Componente del Proyecto</t>
  </si>
  <si>
    <t>Actividad del Proyecto</t>
  </si>
  <si>
    <t>Producto del Proyecto</t>
  </si>
  <si>
    <t>Resultados y Conclusiones</t>
  </si>
  <si>
    <r>
      <t>Recomendaciones y Comentarios</t>
    </r>
    <r>
      <rPr>
        <b/>
        <sz val="8"/>
        <color theme="1"/>
        <rFont val="Calibri"/>
        <family val="2"/>
        <scheme val="minor"/>
      </rPr>
      <t>[1]</t>
    </r>
    <r>
      <rPr>
        <b/>
        <sz val="11"/>
        <color theme="1"/>
        <rFont val="Calibri"/>
        <family val="2"/>
        <scheme val="minor"/>
      </rPr>
      <t>:</t>
    </r>
  </si>
  <si>
    <t>……………………………………………………</t>
  </si>
  <si>
    <t>.</t>
  </si>
  <si>
    <t>…………………………………………………..</t>
  </si>
  <si>
    <r>
      <t xml:space="preserve">Firma Responsable Actividad </t>
    </r>
    <r>
      <rPr>
        <sz val="8"/>
        <color theme="1"/>
        <rFont val="Calibri"/>
        <family val="2"/>
        <scheme val="minor"/>
      </rPr>
      <t>[2]</t>
    </r>
  </si>
  <si>
    <r>
      <t xml:space="preserve">Firma Coordinador Técnico </t>
    </r>
    <r>
      <rPr>
        <sz val="8"/>
        <color theme="1"/>
        <rFont val="Calibri"/>
        <family val="2"/>
        <scheme val="minor"/>
      </rPr>
      <t>[2]</t>
    </r>
  </si>
  <si>
    <r>
      <rPr>
        <sz val="8"/>
        <color theme="1"/>
        <rFont val="Calibri"/>
        <family val="2"/>
        <scheme val="minor"/>
      </rPr>
      <t>[1]</t>
    </r>
    <r>
      <rPr>
        <sz val="11"/>
        <color theme="1"/>
        <rFont val="Calibri"/>
        <family val="2"/>
        <scheme val="minor"/>
      </rPr>
      <t xml:space="preserve"> En caso de Taller o Jornada se deberá anexar listado de Participantes y Temario. </t>
    </r>
  </si>
  <si>
    <t xml:space="preserve">     Se pueden anexar Fotos o material considerado pertinente</t>
  </si>
  <si>
    <r>
      <rPr>
        <sz val="8"/>
        <color theme="1"/>
        <rFont val="Calibri"/>
        <family val="2"/>
        <scheme val="minor"/>
      </rPr>
      <t>[2]</t>
    </r>
    <r>
      <rPr>
        <sz val="11"/>
        <color theme="1"/>
        <rFont val="Calibri"/>
        <family val="2"/>
        <scheme val="minor"/>
      </rPr>
      <t xml:space="preserve"> Las firmas del Responsable de la actividad y del Coordinar Técnico son obligatorias</t>
    </r>
  </si>
  <si>
    <t>FICHA IDENTIFICACION FINANCIERA (1)</t>
  </si>
  <si>
    <t>(Datos para transferencia bancaria fuera de Argentina)</t>
  </si>
  <si>
    <t>DATOS TITULAR DE CUENTA</t>
  </si>
  <si>
    <t>NOMBRE COMPLETO</t>
  </si>
  <si>
    <t>CUIT/CUIL</t>
  </si>
  <si>
    <t>DOMICILIO</t>
  </si>
  <si>
    <t>DATOS CUENTA BANCARIA</t>
  </si>
  <si>
    <t>NOMBRE DEL BANCO</t>
  </si>
  <si>
    <t xml:space="preserve">SUCURSAL/CÓDIGO BANCO  </t>
  </si>
  <si>
    <t xml:space="preserve">DOMICILIO COMPLETO DEL BANCO          </t>
  </si>
  <si>
    <t>CIUDAD/PAIS</t>
  </si>
  <si>
    <t xml:space="preserve">TIPO DE CUENTA </t>
  </si>
  <si>
    <t xml:space="preserve">MONEDA/DIVISA DE LA CUENTA </t>
  </si>
  <si>
    <t xml:space="preserve">NÚMERO DE CUENTA </t>
  </si>
  <si>
    <t xml:space="preserve">CÓDIGO SWIFT/BIC </t>
  </si>
  <si>
    <t>……………………………………………………………….</t>
  </si>
  <si>
    <t>FIRMA DEL TITULAR DE LA CUENTA</t>
  </si>
  <si>
    <t>(1) Se deberá adjuntar copia del extracto de cuenta o constancia de datos bancarios</t>
  </si>
  <si>
    <r>
      <rPr>
        <sz val="11"/>
        <color theme="1"/>
        <rFont val="Calibri"/>
        <family val="2"/>
        <scheme val="minor"/>
      </rPr>
      <t>[2] Completar para cuentas bancarias radicadas en la Unión Europea</t>
    </r>
  </si>
  <si>
    <r>
      <rPr>
        <sz val="11"/>
        <color theme="1"/>
        <rFont val="Calibri"/>
        <family val="2"/>
        <scheme val="minor"/>
      </rPr>
      <t>[3] Completar para cuentas bancarias randicadas en EE.UU.</t>
    </r>
  </si>
  <si>
    <r>
      <t xml:space="preserve">IBAN </t>
    </r>
    <r>
      <rPr>
        <sz val="8"/>
        <color theme="1"/>
        <rFont val="Calibri"/>
        <family val="2"/>
        <scheme val="minor"/>
      </rPr>
      <t>[2]</t>
    </r>
  </si>
  <si>
    <r>
      <t>ABA</t>
    </r>
    <r>
      <rPr>
        <sz val="9"/>
        <color theme="1"/>
        <rFont val="Calibri"/>
        <family val="2"/>
        <scheme val="minor"/>
      </rPr>
      <t xml:space="preserve"> </t>
    </r>
    <r>
      <rPr>
        <sz val="8"/>
        <color theme="1"/>
        <rFont val="Calibri"/>
        <family val="2"/>
        <scheme val="minor"/>
      </rPr>
      <t>[3]</t>
    </r>
  </si>
  <si>
    <t>FECHA……../……../…………</t>
  </si>
  <si>
    <t>5.2.27</t>
  </si>
  <si>
    <t>Contrato de investigación Nº 23402  INTA – IAEA</t>
  </si>
  <si>
    <t>5.2.65</t>
  </si>
  <si>
    <t>5.2.100</t>
  </si>
  <si>
    <t>STE Dollvet</t>
  </si>
  <si>
    <t>5.2.101</t>
  </si>
  <si>
    <t>CRDF GLOBAL - Grant Agreement N° G-202302-69885</t>
  </si>
  <si>
    <t>5.2.102</t>
  </si>
  <si>
    <t>C/A INTA - F.A. CONSULTORIA FCFP</t>
  </si>
  <si>
    <t>FTG - Leguminosas MPI NZ</t>
  </si>
  <si>
    <t>AUTO</t>
  </si>
  <si>
    <t>5.2.103</t>
  </si>
  <si>
    <t>5.2.104</t>
  </si>
  <si>
    <t>5.2.105</t>
  </si>
  <si>
    <t>5.2.106</t>
  </si>
  <si>
    <t>GFRA/CRDF - Mansilla</t>
  </si>
  <si>
    <t>GFRA/CRDF - Konig</t>
  </si>
  <si>
    <t>Contrato Global Factor</t>
  </si>
  <si>
    <t>CRDF GLOBAL C70039</t>
  </si>
  <si>
    <t>5.2.107</t>
  </si>
  <si>
    <t>5.2.108</t>
  </si>
  <si>
    <t>5.2.109</t>
  </si>
  <si>
    <t>5.2.110</t>
  </si>
  <si>
    <t>5.2.111</t>
  </si>
  <si>
    <t>5.2.112</t>
  </si>
  <si>
    <t>C/A INTA - FA - Univ. De Georgia</t>
  </si>
  <si>
    <t>FTG - Bienestar Fincas Ganaderas</t>
  </si>
  <si>
    <t>FTG - Ganadería Comunidades Mapuches</t>
  </si>
  <si>
    <t>FTG - MPI - Ganadería Comunidades Mapuches</t>
  </si>
  <si>
    <t>FTG - Red de Fincas</t>
  </si>
  <si>
    <t>5.2.113</t>
  </si>
  <si>
    <t>5.2.114</t>
  </si>
  <si>
    <t>C/A INTA FA-Regante</t>
  </si>
  <si>
    <t>Acuerdo Universidad Naciones Unidas</t>
  </si>
  <si>
    <t>Emory</t>
  </si>
  <si>
    <t>5.2.115</t>
  </si>
  <si>
    <t>5.2.116</t>
  </si>
  <si>
    <t>5.2.117</t>
  </si>
  <si>
    <t>5.2.118</t>
  </si>
  <si>
    <t>INTA-FA Frutales</t>
  </si>
  <si>
    <t>Co-ejecución FTG Rumiantes</t>
  </si>
  <si>
    <t>Acuerdo de Cooperación Bioma</t>
  </si>
  <si>
    <t>FTG-Fondo Semilla HLB</t>
  </si>
  <si>
    <t>5.2.119</t>
  </si>
  <si>
    <t>5.2.120</t>
  </si>
  <si>
    <t>5.2.121</t>
  </si>
  <si>
    <t>5.2.122</t>
  </si>
  <si>
    <t>C. A. INTA - F.A. - Phy2Climate (H2020)</t>
  </si>
  <si>
    <t>Consultoría BID - INA</t>
  </si>
  <si>
    <t>Co-ejecución INIA Chile Uso Nitrógeno</t>
  </si>
  <si>
    <t>Acuerdo USDA Immunogenicity</t>
  </si>
  <si>
    <t>5.2.123</t>
  </si>
  <si>
    <t>C/A INTA-FA BeXyl</t>
  </si>
  <si>
    <t>5.2.124</t>
  </si>
  <si>
    <t>FAJ - FA</t>
  </si>
  <si>
    <t>5.2.125</t>
  </si>
  <si>
    <t>STE 2604 CENIPALMA</t>
  </si>
  <si>
    <t>5.2.126</t>
  </si>
  <si>
    <t>Acuerdo Univ. de Belfast</t>
  </si>
  <si>
    <t>5.2.127</t>
  </si>
  <si>
    <t>Consultoría BID RG-T4294-P001 - Plataforma Pueblos</t>
  </si>
  <si>
    <t>5.2.128</t>
  </si>
  <si>
    <t>Consultoría BID RG-T4260-P001 - Actualización Imve</t>
  </si>
  <si>
    <t>5.2.129</t>
  </si>
  <si>
    <t>C/A 1/25 INIDEP - FA Donación Schmidt Sciences</t>
  </si>
  <si>
    <t>5.2.130</t>
  </si>
  <si>
    <t>CA INTA-FAO Proyecto PPR REDD+</t>
  </si>
  <si>
    <t>5.2.131</t>
  </si>
  <si>
    <t>CA FAO-INTA Balance de C en MBGI</t>
  </si>
  <si>
    <t>Componente</t>
  </si>
  <si>
    <t>“FONDO SEMILLA - Enabling Indigenous Climate Smart Agriculture Resilience in the Latin America and Caribbean Region”</t>
  </si>
  <si>
    <t>Fuente</t>
  </si>
  <si>
    <t>5.2.132</t>
  </si>
  <si>
    <t>C/A INTA H2020 ProCEedS</t>
  </si>
  <si>
    <t>5.2.133</t>
  </si>
  <si>
    <t>FAO - Cuenca Forestal Caimancito LOA/FAOAR/PPR/037</t>
  </si>
  <si>
    <t>5.2.134</t>
  </si>
  <si>
    <t>Consultoría BID #RG-4500-P003 Indicadores de Sostenibilidad de la Ganaderia Bovina</t>
  </si>
  <si>
    <t>5.2.135</t>
  </si>
  <si>
    <t>H2020 MSCA-RISE: TRACEWINDU</t>
  </si>
  <si>
    <t>5.2.136</t>
  </si>
  <si>
    <t>Consultoria BID  RG-T4260-P003 Cons. Agroecosistemas</t>
  </si>
  <si>
    <t>5.2.137</t>
  </si>
  <si>
    <t>FAO Grupo Bosque Zomo - Neuquen</t>
  </si>
  <si>
    <t>5.2.138</t>
  </si>
  <si>
    <t>FAO TCP/RLA/4005</t>
  </si>
  <si>
    <t>5.2.139</t>
  </si>
  <si>
    <t>FAO CDA Jujuy MBGI INTA</t>
  </si>
  <si>
    <t>5.2.140</t>
  </si>
  <si>
    <t>FAO - CDA Tucumán MBGI INTA</t>
  </si>
  <si>
    <t>5.2.141</t>
  </si>
  <si>
    <t>FAO - Plan Manejo de Bosques Neuquén</t>
  </si>
  <si>
    <t>5.2.142</t>
  </si>
  <si>
    <t>5.2.143</t>
  </si>
  <si>
    <t>5.2.144</t>
  </si>
  <si>
    <t>5.2.145</t>
  </si>
  <si>
    <t>5.2.146</t>
  </si>
  <si>
    <t>5.2.147</t>
  </si>
  <si>
    <t>5.2.148</t>
  </si>
  <si>
    <t>5.2.149</t>
  </si>
  <si>
    <t>5.2.150</t>
  </si>
  <si>
    <t>5.2.151</t>
  </si>
  <si>
    <t>Consultoría Fundación Vida Silvestre</t>
  </si>
  <si>
    <t>FAO - MBGI Río Negro</t>
  </si>
  <si>
    <t>FAO-MBGI-BUENOS AIRES</t>
  </si>
  <si>
    <t>Co-Ejec. ATN/RF-21533-RG Sist. Pastoriles</t>
  </si>
  <si>
    <t>CurveBend-NWO</t>
  </si>
  <si>
    <t>ATN/ RF- 21539- RG PAPA Y SEMILLA</t>
  </si>
  <si>
    <t>FAO - INTA MBGI Santiago del Estero</t>
  </si>
  <si>
    <t>TECHNOSERVE - MOZAMBIQUE -</t>
  </si>
  <si>
    <t>ATN/RF 21532 - RG SIST. PRODUCTIVOS</t>
  </si>
  <si>
    <t>IICA-F.A.-FIDA Raíces</t>
  </si>
  <si>
    <t>5.2.152</t>
  </si>
  <si>
    <t>INA.SC.LH.PROY.1919 - PROT N° 1919 "UNQ CA 60/25"</t>
  </si>
  <si>
    <t>5.2.153</t>
  </si>
  <si>
    <t>FAO - Lapacho Argentina</t>
  </si>
  <si>
    <t>G.M.H. - Gran Chaco Ganadero</t>
  </si>
  <si>
    <t>Consultoria PNUD Acceso al Agua en el Gran Chaco</t>
  </si>
  <si>
    <t>C/A INTA - Consultoría CIAT - FA</t>
  </si>
  <si>
    <t>FAO - CDA MBGI Quimili</t>
  </si>
  <si>
    <t>FAO - CDA MBGI INTA Chubut</t>
  </si>
  <si>
    <t>5.2.154</t>
  </si>
  <si>
    <t>5.2.155</t>
  </si>
  <si>
    <t>5.2.156</t>
  </si>
  <si>
    <t>5.2.157</t>
  </si>
  <si>
    <t>5.2.158</t>
  </si>
  <si>
    <t>FAO - CDA MBGI RIO 01 y 03-La Rioja</t>
  </si>
  <si>
    <t>FAO - CDA MBGI RIO 02 -La Rioja</t>
  </si>
  <si>
    <t>FAO - CDA PIC INTA Tucumán - Los Sotelo</t>
  </si>
  <si>
    <t>FAO - CDA PIC INTA SdE-Algarrobales</t>
  </si>
  <si>
    <t>10.INA.SC.LH.PROY.1925</t>
  </si>
  <si>
    <t>FAO - CDA PIC INTA La Rioja-Ambil</t>
  </si>
  <si>
    <t>FAO - CDA PIC INTA La Rioja-La Aguadita</t>
  </si>
  <si>
    <t>CDA PIC INTA La Rioja - Los Bordos</t>
  </si>
  <si>
    <t>CDA PIC INTA Chubut - Lago Rosario y Sierra Colorada</t>
  </si>
  <si>
    <t>CDA PIC INTA La Rioja - La Cortada</t>
  </si>
  <si>
    <t>CDA PIC INTA Santiago del Estero- Santo Domingo PIC SDE 048</t>
  </si>
  <si>
    <t>CDA PIC INTA Sgo. del Estero- El Hoyo</t>
  </si>
  <si>
    <t>CDA PIC INTA Santiago del Estero- San Francisco</t>
  </si>
  <si>
    <t>CDA PIC INTA Chubut - El Turbio</t>
  </si>
  <si>
    <t>5.2.159</t>
  </si>
  <si>
    <t>5.2.160</t>
  </si>
  <si>
    <t>5.2.161</t>
  </si>
  <si>
    <t>5.2.162</t>
  </si>
  <si>
    <t>5.2.163</t>
  </si>
  <si>
    <t>5.2.164</t>
  </si>
  <si>
    <t>5.2.165</t>
  </si>
  <si>
    <t>5.2.166</t>
  </si>
  <si>
    <t>5.2.167</t>
  </si>
  <si>
    <t>5.2.168</t>
  </si>
  <si>
    <t>5.2.169</t>
  </si>
  <si>
    <t>5.2.170</t>
  </si>
  <si>
    <t>5.2.171</t>
  </si>
  <si>
    <t>5.2.172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</si>
</sst>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US$-3009]#,##0.00"/>
    <numFmt numFmtId="165" formatCode="0.0"/>
  </numFmts>
  <fonts count="16">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b/>
      <sz val="8"/>
      <color indexed="30"/>
      <name val="SansSerif"/>
    </font>
    <font>
      <sz val="8"/>
      <color indexed="8"/>
      <name val="SansSerif"/>
    </font>
    <font>
      <b/>
      <sz val="13"/>
      <color theme="1"/>
      <name val="Calibri"/>
      <family val="2"/>
      <scheme val="minor"/>
    </font>
    <font>
      <sz val="9"/>
      <color indexed="81"/>
      <name val="Tahoma"/>
      <family val="2"/>
    </font>
    <font>
      <b/>
      <sz val="9"/>
      <color indexed="81"/>
      <name val="Tahoma"/>
      <family val="2"/>
    </font>
    <font>
      <sz val="11"/>
      <color rgb="FF000000"/>
      <name val="Calibri"/>
      <family val="2"/>
      <scheme val="minor"/>
    </font>
    <font>
      <b/>
      <u/>
      <sz val="14"/>
      <color theme="1"/>
      <name val="Calibri"/>
      <family val="2"/>
      <scheme val="minor"/>
    </font>
    <font>
      <sz val="11"/>
      <color rgb="FFFF0000"/>
      <name val="Calibri"/>
      <family val="2"/>
      <scheme val="minor"/>
    </font>
    <font>
      <b/>
      <sz val="8"/>
      <color theme="1"/>
      <name val="Calibri"/>
      <family val="2"/>
      <scheme val="minor"/>
    </font>
    <font>
      <sz val="8"/>
      <color theme="1"/>
      <name val="Calibri"/>
      <family val="2"/>
      <scheme val="minor"/>
    </font>
    <font>
      <sz val="9"/>
      <color theme="1"/>
      <name val="Calibri"/>
      <family val="2"/>
      <scheme val="minor"/>
    </font>
    <font>
      <sz val="8"/>
      <name val="SansSerif"/>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tint="-0.14999847407452621"/>
        <bgColor indexed="64"/>
      </patternFill>
    </fill>
    <fill>
      <patternFill patternType="solid">
        <fgColor theme="8" tint="0.59999389629810485"/>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ck">
        <color auto="1"/>
      </right>
      <top/>
      <bottom/>
      <diagonal/>
    </border>
    <border>
      <left style="thick">
        <color auto="1"/>
      </left>
      <right/>
      <top/>
      <bottom/>
      <diagonal/>
    </border>
    <border>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top style="thick">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s>
  <cellStyleXfs count="1">
    <xf numFmtId="0" fontId="0" fillId="0" borderId="0"/>
  </cellStyleXfs>
  <cellXfs count="174">
    <xf numFmtId="0" fontId="0" fillId="0" borderId="0" xfId="0"/>
    <xf numFmtId="0" fontId="0" fillId="2" borderId="0" xfId="0" applyFill="1"/>
    <xf numFmtId="0" fontId="0" fillId="0" borderId="0" xfId="0" applyAlignment="1">
      <alignment horizontal="center" wrapText="1"/>
    </xf>
    <xf numFmtId="0" fontId="1" fillId="0" borderId="6" xfId="0" applyFont="1" applyBorder="1"/>
    <xf numFmtId="0" fontId="0" fillId="0" borderId="6" xfId="0" applyBorder="1"/>
    <xf numFmtId="0" fontId="0" fillId="0" borderId="0" xfId="0" applyAlignment="1">
      <alignment wrapText="1"/>
    </xf>
    <xf numFmtId="49" fontId="0" fillId="0" borderId="2" xfId="0" applyNumberFormat="1" applyBorder="1"/>
    <xf numFmtId="0" fontId="1" fillId="0" borderId="0" xfId="0" applyFont="1"/>
    <xf numFmtId="0" fontId="0" fillId="2" borderId="15" xfId="0" applyFill="1" applyBorder="1"/>
    <xf numFmtId="0" fontId="0" fillId="2" borderId="0" xfId="0" applyFill="1" applyAlignment="1">
      <alignment horizontal="left" wrapText="1"/>
    </xf>
    <xf numFmtId="0" fontId="0" fillId="2" borderId="15" xfId="0" applyFill="1" applyBorder="1" applyAlignment="1">
      <alignment horizontal="left" wrapText="1"/>
    </xf>
    <xf numFmtId="0" fontId="0" fillId="2" borderId="0" xfId="0" applyFill="1" applyAlignment="1">
      <alignment wrapText="1"/>
    </xf>
    <xf numFmtId="0" fontId="0" fillId="2" borderId="15" xfId="0" applyFill="1" applyBorder="1" applyAlignment="1">
      <alignment wrapText="1"/>
    </xf>
    <xf numFmtId="0" fontId="0" fillId="2" borderId="20" xfId="0" applyFill="1" applyBorder="1"/>
    <xf numFmtId="0" fontId="5" fillId="2" borderId="6" xfId="0" applyFont="1" applyFill="1" applyBorder="1" applyAlignment="1">
      <alignment horizontal="left" vertical="center" wrapText="1"/>
    </xf>
    <xf numFmtId="0" fontId="4" fillId="3" borderId="6" xfId="0" applyFont="1" applyFill="1" applyBorder="1" applyAlignment="1">
      <alignment horizontal="center" vertical="center" wrapText="1"/>
    </xf>
    <xf numFmtId="0" fontId="11" fillId="0" borderId="0" xfId="0" applyFont="1"/>
    <xf numFmtId="0" fontId="1" fillId="4" borderId="24" xfId="0" applyFont="1" applyFill="1" applyBorder="1"/>
    <xf numFmtId="0" fontId="0" fillId="0" borderId="14" xfId="0" applyBorder="1"/>
    <xf numFmtId="0" fontId="15" fillId="2" borderId="6" xfId="0" applyFont="1" applyFill="1" applyBorder="1" applyAlignment="1">
      <alignment horizontal="left" vertical="center" wrapText="1"/>
    </xf>
    <xf numFmtId="0" fontId="0" fillId="2" borderId="0" xfId="0" applyFill="1" applyProtection="1">
      <protection locked="0"/>
    </xf>
    <xf numFmtId="14" fontId="0" fillId="2" borderId="0" xfId="0" applyNumberFormat="1" applyFill="1" applyProtection="1">
      <protection locked="0"/>
    </xf>
    <xf numFmtId="0" fontId="0" fillId="0" borderId="0" xfId="0" applyProtection="1">
      <protection locked="0"/>
    </xf>
    <xf numFmtId="0" fontId="2" fillId="2" borderId="0" xfId="0" applyFont="1" applyFill="1" applyAlignment="1" applyProtection="1">
      <alignment vertical="center"/>
      <protection locked="0"/>
    </xf>
    <xf numFmtId="0" fontId="2" fillId="0" borderId="0" xfId="0" applyFont="1" applyAlignment="1" applyProtection="1">
      <alignment vertical="center"/>
      <protection locked="0"/>
    </xf>
    <xf numFmtId="0" fontId="3" fillId="0" borderId="0" xfId="0" applyFont="1" applyAlignment="1" applyProtection="1">
      <alignment vertical="center"/>
      <protection locked="0"/>
    </xf>
    <xf numFmtId="0" fontId="0" fillId="2" borderId="0" xfId="0" applyFill="1" applyAlignment="1" applyProtection="1">
      <alignment horizontal="center"/>
      <protection locked="0"/>
    </xf>
    <xf numFmtId="0" fontId="1" fillId="0" borderId="13" xfId="0" applyFont="1" applyBorder="1" applyAlignment="1" applyProtection="1">
      <alignment horizontal="center" vertical="center" wrapText="1"/>
      <protection locked="0"/>
    </xf>
    <xf numFmtId="0" fontId="0" fillId="2" borderId="6" xfId="0" applyFill="1" applyBorder="1" applyProtection="1">
      <protection locked="0"/>
    </xf>
    <xf numFmtId="4" fontId="0" fillId="2" borderId="6" xfId="0" applyNumberFormat="1" applyFill="1" applyBorder="1" applyProtection="1">
      <protection locked="0"/>
    </xf>
    <xf numFmtId="0" fontId="0" fillId="0" borderId="3" xfId="0" applyBorder="1" applyProtection="1">
      <protection locked="0"/>
    </xf>
    <xf numFmtId="0" fontId="0" fillId="0" borderId="9" xfId="0" applyBorder="1" applyProtection="1">
      <protection locked="0"/>
    </xf>
    <xf numFmtId="0" fontId="1" fillId="2" borderId="0" xfId="0" applyFont="1" applyFill="1" applyAlignment="1" applyProtection="1">
      <alignment horizontal="right"/>
      <protection locked="0"/>
    </xf>
    <xf numFmtId="4" fontId="1" fillId="2" borderId="0" xfId="0" applyNumberFormat="1" applyFont="1" applyFill="1" applyProtection="1">
      <protection locked="0"/>
    </xf>
    <xf numFmtId="0" fontId="1" fillId="2" borderId="6" xfId="0" applyFont="1" applyFill="1" applyBorder="1" applyAlignment="1" applyProtection="1">
      <alignment horizontal="center" vertical="center" wrapText="1"/>
      <protection locked="0"/>
    </xf>
    <xf numFmtId="14" fontId="1" fillId="0" borderId="6" xfId="0" applyNumberFormat="1" applyFont="1" applyBorder="1" applyAlignment="1" applyProtection="1">
      <alignment horizontal="center" vertical="center" wrapText="1"/>
      <protection locked="0"/>
    </xf>
    <xf numFmtId="1" fontId="0" fillId="2" borderId="6" xfId="0" applyNumberFormat="1" applyFill="1" applyBorder="1" applyProtection="1">
      <protection locked="0"/>
    </xf>
    <xf numFmtId="14" fontId="0" fillId="2" borderId="6" xfId="0" applyNumberFormat="1" applyFill="1" applyBorder="1" applyProtection="1">
      <protection locked="0"/>
    </xf>
    <xf numFmtId="16" fontId="0" fillId="0" borderId="0" xfId="0" applyNumberFormat="1" applyProtection="1">
      <protection locked="0"/>
    </xf>
    <xf numFmtId="4" fontId="0" fillId="0" borderId="0" xfId="0" applyNumberFormat="1" applyProtection="1">
      <protection locked="0"/>
    </xf>
    <xf numFmtId="0" fontId="0" fillId="2" borderId="2" xfId="0" applyFill="1" applyBorder="1" applyProtection="1">
      <protection locked="0"/>
    </xf>
    <xf numFmtId="0" fontId="1" fillId="2" borderId="0" xfId="0" applyFont="1" applyFill="1" applyAlignment="1" applyProtection="1">
      <alignment vertical="center"/>
      <protection locked="0"/>
    </xf>
    <xf numFmtId="0" fontId="1" fillId="2" borderId="0" xfId="0" applyFont="1" applyFill="1" applyAlignment="1" applyProtection="1">
      <alignment horizontal="center" vertical="center"/>
      <protection locked="0"/>
    </xf>
    <xf numFmtId="164" fontId="0" fillId="2" borderId="0" xfId="0" applyNumberFormat="1" applyFill="1" applyAlignment="1" applyProtection="1">
      <alignment horizontal="center"/>
      <protection locked="0"/>
    </xf>
    <xf numFmtId="0" fontId="1" fillId="4" borderId="6" xfId="0" applyFont="1" applyFill="1" applyBorder="1" applyAlignment="1" applyProtection="1">
      <alignment horizontal="center" vertical="center" wrapText="1"/>
      <protection locked="0"/>
    </xf>
    <xf numFmtId="0" fontId="1" fillId="0" borderId="6" xfId="0" applyFont="1" applyBorder="1" applyAlignment="1" applyProtection="1">
      <alignment horizontal="center" vertical="center"/>
      <protection locked="0"/>
    </xf>
    <xf numFmtId="14" fontId="1" fillId="0" borderId="6" xfId="0" applyNumberFormat="1" applyFont="1" applyBorder="1" applyAlignment="1" applyProtection="1">
      <alignment horizontal="center"/>
      <protection locked="0"/>
    </xf>
    <xf numFmtId="164" fontId="0" fillId="0" borderId="6" xfId="0" applyNumberFormat="1" applyBorder="1" applyAlignment="1" applyProtection="1">
      <alignment horizontal="center"/>
      <protection locked="0"/>
    </xf>
    <xf numFmtId="0" fontId="0" fillId="0" borderId="6" xfId="0" applyBorder="1" applyAlignment="1" applyProtection="1">
      <alignment horizontal="center"/>
      <protection locked="0"/>
    </xf>
    <xf numFmtId="4" fontId="1" fillId="0" borderId="6" xfId="0" applyNumberFormat="1" applyFont="1" applyBorder="1" applyAlignment="1" applyProtection="1">
      <alignment horizontal="center"/>
      <protection locked="0"/>
    </xf>
    <xf numFmtId="164" fontId="1" fillId="0" borderId="6" xfId="0" applyNumberFormat="1" applyFont="1" applyBorder="1" applyAlignment="1" applyProtection="1">
      <alignment horizontal="center"/>
      <protection locked="0"/>
    </xf>
    <xf numFmtId="0" fontId="1" fillId="0" borderId="6" xfId="0" applyFont="1" applyBorder="1" applyAlignment="1" applyProtection="1">
      <alignment horizontal="center"/>
      <protection locked="0"/>
    </xf>
    <xf numFmtId="14" fontId="0" fillId="0" borderId="6" xfId="0" applyNumberFormat="1" applyBorder="1" applyAlignment="1" applyProtection="1">
      <alignment horizontal="center"/>
      <protection locked="0"/>
    </xf>
    <xf numFmtId="1" fontId="1" fillId="0" borderId="6" xfId="0" applyNumberFormat="1" applyFont="1" applyBorder="1" applyAlignment="1" applyProtection="1">
      <alignment horizontal="center"/>
      <protection locked="0"/>
    </xf>
    <xf numFmtId="20" fontId="0" fillId="0" borderId="6" xfId="0" applyNumberFormat="1" applyBorder="1" applyAlignment="1" applyProtection="1">
      <alignment horizontal="center"/>
      <protection locked="0"/>
    </xf>
    <xf numFmtId="14" fontId="1" fillId="4" borderId="13" xfId="0" applyNumberFormat="1" applyFont="1" applyFill="1" applyBorder="1" applyAlignment="1" applyProtection="1">
      <alignment horizontal="center"/>
      <protection locked="0"/>
    </xf>
    <xf numFmtId="14" fontId="1" fillId="4" borderId="14" xfId="0" applyNumberFormat="1" applyFont="1" applyFill="1" applyBorder="1" applyAlignment="1" applyProtection="1">
      <alignment horizontal="center"/>
      <protection locked="0"/>
    </xf>
    <xf numFmtId="14" fontId="0" fillId="0" borderId="0" xfId="0" applyNumberFormat="1" applyProtection="1">
      <protection locked="0"/>
    </xf>
    <xf numFmtId="4" fontId="1" fillId="4" borderId="6" xfId="0" applyNumberFormat="1" applyFont="1" applyFill="1" applyBorder="1"/>
    <xf numFmtId="4" fontId="1" fillId="2" borderId="6" xfId="0" applyNumberFormat="1" applyFont="1" applyFill="1" applyBorder="1"/>
    <xf numFmtId="165" fontId="1" fillId="0" borderId="6" xfId="0" applyNumberFormat="1" applyFont="1" applyBorder="1" applyAlignment="1" applyProtection="1">
      <alignment horizontal="center"/>
      <protection locked="0"/>
    </xf>
    <xf numFmtId="0" fontId="5" fillId="2" borderId="6" xfId="0" applyFont="1" applyFill="1" applyBorder="1" applyAlignment="1">
      <alignment horizontal="left" vertical="center"/>
    </xf>
    <xf numFmtId="0" fontId="1" fillId="0" borderId="6" xfId="0" applyFont="1" applyBorder="1" applyAlignment="1" applyProtection="1">
      <alignment horizontal="left" wrapText="1"/>
      <protection locked="0"/>
    </xf>
    <xf numFmtId="0" fontId="0" fillId="0" borderId="6" xfId="0" applyBorder="1" applyAlignment="1" applyProtection="1">
      <alignment horizontal="left"/>
      <protection locked="0"/>
    </xf>
    <xf numFmtId="0" fontId="2" fillId="4" borderId="1" xfId="0" applyFont="1" applyFill="1" applyBorder="1" applyAlignment="1" applyProtection="1">
      <alignment horizontal="center" vertical="center"/>
      <protection locked="0"/>
    </xf>
    <xf numFmtId="0" fontId="2" fillId="4" borderId="2" xfId="0"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0" fontId="2" fillId="4" borderId="4" xfId="0" applyFont="1" applyFill="1" applyBorder="1" applyAlignment="1" applyProtection="1">
      <alignment horizontal="center" vertical="center"/>
      <protection locked="0"/>
    </xf>
    <xf numFmtId="0" fontId="2" fillId="4" borderId="5" xfId="0" applyFont="1" applyFill="1" applyBorder="1" applyAlignment="1" applyProtection="1">
      <alignment horizontal="center" vertical="center"/>
      <protection locked="0"/>
    </xf>
    <xf numFmtId="0" fontId="2" fillId="4" borderId="11" xfId="0" applyFont="1" applyFill="1" applyBorder="1" applyAlignment="1" applyProtection="1">
      <alignment horizontal="center" vertical="center"/>
      <protection locked="0"/>
    </xf>
    <xf numFmtId="0" fontId="1" fillId="0" borderId="6" xfId="0" applyFont="1" applyBorder="1" applyAlignment="1" applyProtection="1">
      <alignment horizontal="left"/>
      <protection locked="0"/>
    </xf>
    <xf numFmtId="0" fontId="1" fillId="0" borderId="7" xfId="0" applyFont="1" applyBorder="1" applyAlignment="1" applyProtection="1">
      <alignment horizontal="left"/>
      <protection locked="0"/>
    </xf>
    <xf numFmtId="0" fontId="1" fillId="0" borderId="8" xfId="0" applyFont="1" applyBorder="1" applyAlignment="1" applyProtection="1">
      <alignment horizontal="left"/>
      <protection locked="0"/>
    </xf>
    <xf numFmtId="0" fontId="0" fillId="4" borderId="7" xfId="0" applyFill="1" applyBorder="1" applyAlignment="1">
      <alignment horizontal="center"/>
    </xf>
    <xf numFmtId="0" fontId="0" fillId="4" borderId="12" xfId="0" applyFill="1" applyBorder="1" applyAlignment="1">
      <alignment horizontal="center"/>
    </xf>
    <xf numFmtId="0" fontId="0" fillId="4" borderId="8" xfId="0" applyFill="1" applyBorder="1" applyAlignment="1">
      <alignment horizontal="center"/>
    </xf>
    <xf numFmtId="0" fontId="0" fillId="0" borderId="6" xfId="0" applyBorder="1" applyAlignment="1" applyProtection="1">
      <alignment horizontal="center"/>
      <protection locked="0"/>
    </xf>
    <xf numFmtId="0" fontId="0" fillId="0" borderId="7" xfId="0" applyBorder="1" applyAlignment="1" applyProtection="1">
      <alignment horizontal="center"/>
      <protection locked="0"/>
    </xf>
    <xf numFmtId="0" fontId="0" fillId="0" borderId="8" xfId="0" applyBorder="1" applyAlignment="1" applyProtection="1">
      <alignment horizontal="center"/>
      <protection locked="0"/>
    </xf>
    <xf numFmtId="0" fontId="6" fillId="0" borderId="7"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1" fillId="4" borderId="7" xfId="0" applyFont="1" applyFill="1" applyBorder="1" applyAlignment="1" applyProtection="1">
      <alignment horizontal="left"/>
      <protection locked="0"/>
    </xf>
    <xf numFmtId="0" fontId="1" fillId="4" borderId="8" xfId="0" applyFont="1" applyFill="1" applyBorder="1" applyAlignment="1" applyProtection="1">
      <alignment horizontal="left"/>
      <protection locked="0"/>
    </xf>
    <xf numFmtId="0" fontId="1" fillId="4" borderId="7" xfId="0" applyFont="1" applyFill="1" applyBorder="1" applyAlignment="1" applyProtection="1">
      <alignment horizontal="left" wrapText="1"/>
      <protection locked="0"/>
    </xf>
    <xf numFmtId="0" fontId="1" fillId="4" borderId="8" xfId="0" applyFont="1" applyFill="1" applyBorder="1" applyAlignment="1" applyProtection="1">
      <alignment horizontal="left" wrapText="1"/>
      <protection locked="0"/>
    </xf>
    <xf numFmtId="0" fontId="1" fillId="4" borderId="6" xfId="0" applyFont="1" applyFill="1" applyBorder="1" applyAlignment="1" applyProtection="1">
      <alignment horizontal="center" vertical="center"/>
      <protection locked="0"/>
    </xf>
    <xf numFmtId="0" fontId="1" fillId="0" borderId="6" xfId="0" applyFont="1" applyBorder="1" applyAlignment="1" applyProtection="1">
      <alignment horizontal="center"/>
      <protection locked="0"/>
    </xf>
    <xf numFmtId="0" fontId="1" fillId="4" borderId="7" xfId="0" applyFont="1" applyFill="1" applyBorder="1" applyAlignment="1" applyProtection="1">
      <alignment horizontal="right"/>
      <protection locked="0"/>
    </xf>
    <xf numFmtId="0" fontId="1" fillId="4" borderId="12" xfId="0" applyFont="1" applyFill="1" applyBorder="1" applyAlignment="1" applyProtection="1">
      <alignment horizontal="right"/>
      <protection locked="0"/>
    </xf>
    <xf numFmtId="0" fontId="1" fillId="4" borderId="8" xfId="0" applyFont="1" applyFill="1" applyBorder="1" applyAlignment="1" applyProtection="1">
      <alignment horizontal="right"/>
      <protection locked="0"/>
    </xf>
    <xf numFmtId="0" fontId="0" fillId="2" borderId="0" xfId="0" applyFill="1" applyAlignment="1">
      <alignment horizontal="left" wrapText="1"/>
    </xf>
    <xf numFmtId="0" fontId="0" fillId="2" borderId="15" xfId="0" applyFill="1" applyBorder="1" applyAlignment="1">
      <alignment horizontal="left" wrapText="1"/>
    </xf>
    <xf numFmtId="0" fontId="0" fillId="2" borderId="16" xfId="0" applyFill="1" applyBorder="1" applyAlignment="1">
      <alignment horizontal="left" vertical="top" wrapText="1"/>
    </xf>
    <xf numFmtId="0" fontId="0" fillId="2" borderId="0" xfId="0" applyFill="1" applyAlignment="1">
      <alignment horizontal="left" vertical="top" wrapText="1"/>
    </xf>
    <xf numFmtId="0" fontId="0" fillId="2" borderId="15" xfId="0" applyFill="1" applyBorder="1" applyAlignment="1">
      <alignment horizontal="left" vertical="top" wrapText="1"/>
    </xf>
    <xf numFmtId="0" fontId="0" fillId="2" borderId="16" xfId="0" applyFill="1" applyBorder="1" applyAlignment="1">
      <alignment horizontal="left" wrapText="1"/>
    </xf>
    <xf numFmtId="0" fontId="0" fillId="2" borderId="19" xfId="0" applyFill="1" applyBorder="1" applyAlignment="1">
      <alignment horizontal="left" vertical="top" wrapText="1"/>
    </xf>
    <xf numFmtId="0" fontId="0" fillId="2" borderId="18" xfId="0" applyFill="1" applyBorder="1" applyAlignment="1">
      <alignment horizontal="left" vertical="top" wrapText="1"/>
    </xf>
    <xf numFmtId="0" fontId="0" fillId="2" borderId="17" xfId="0" applyFill="1" applyBorder="1" applyAlignment="1">
      <alignment horizontal="left" vertical="top" wrapText="1"/>
    </xf>
    <xf numFmtId="0" fontId="10" fillId="2" borderId="0" xfId="0" applyFont="1" applyFill="1" applyAlignment="1">
      <alignment horizontal="center"/>
    </xf>
    <xf numFmtId="0" fontId="10" fillId="2" borderId="15" xfId="0" applyFont="1" applyFill="1" applyBorder="1" applyAlignment="1">
      <alignment horizontal="center"/>
    </xf>
    <xf numFmtId="0" fontId="10" fillId="2" borderId="16" xfId="0" applyFont="1" applyFill="1" applyBorder="1" applyAlignment="1">
      <alignment horizontal="center"/>
    </xf>
    <xf numFmtId="0" fontId="0" fillId="2" borderId="16" xfId="0" applyFill="1" applyBorder="1" applyAlignment="1">
      <alignment horizontal="left"/>
    </xf>
    <xf numFmtId="0" fontId="0" fillId="2" borderId="0" xfId="0" applyFill="1" applyAlignment="1">
      <alignment horizontal="left"/>
    </xf>
    <xf numFmtId="0" fontId="0" fillId="2" borderId="15" xfId="0" applyFill="1" applyBorder="1" applyAlignment="1">
      <alignment horizontal="left"/>
    </xf>
    <xf numFmtId="0" fontId="1" fillId="2" borderId="0" xfId="0" applyFont="1" applyFill="1" applyAlignment="1">
      <alignment horizontal="left" wrapText="1"/>
    </xf>
    <xf numFmtId="0" fontId="1" fillId="2" borderId="15" xfId="0" applyFont="1" applyFill="1" applyBorder="1" applyAlignment="1">
      <alignment horizontal="left" wrapText="1"/>
    </xf>
    <xf numFmtId="0" fontId="9" fillId="2" borderId="16" xfId="0" applyFont="1" applyFill="1" applyBorder="1" applyAlignment="1">
      <alignment horizontal="left" vertical="top" wrapText="1"/>
    </xf>
    <xf numFmtId="0" fontId="9" fillId="2" borderId="0" xfId="0" applyFont="1" applyFill="1" applyAlignment="1">
      <alignment horizontal="left" vertical="top" wrapText="1"/>
    </xf>
    <xf numFmtId="0" fontId="9" fillId="2" borderId="15" xfId="0" applyFont="1" applyFill="1" applyBorder="1" applyAlignment="1">
      <alignment horizontal="left" vertical="top" wrapText="1"/>
    </xf>
    <xf numFmtId="0" fontId="9" fillId="2" borderId="0" xfId="0" applyFont="1" applyFill="1" applyAlignment="1">
      <alignment horizontal="left" vertical="center" wrapText="1"/>
    </xf>
    <xf numFmtId="0" fontId="9" fillId="2" borderId="15" xfId="0" applyFont="1" applyFill="1" applyBorder="1" applyAlignment="1">
      <alignment horizontal="left" vertical="center" wrapText="1"/>
    </xf>
    <xf numFmtId="0" fontId="9" fillId="2" borderId="0" xfId="0" applyFont="1" applyFill="1" applyAlignment="1">
      <alignment horizontal="left" wrapText="1"/>
    </xf>
    <xf numFmtId="0" fontId="9" fillId="2" borderId="15" xfId="0" applyFont="1" applyFill="1" applyBorder="1" applyAlignment="1">
      <alignment horizontal="left" wrapText="1"/>
    </xf>
    <xf numFmtId="0" fontId="0" fillId="2" borderId="16" xfId="0" applyFill="1" applyBorder="1" applyAlignment="1">
      <alignment horizontal="left" vertical="center" wrapText="1"/>
    </xf>
    <xf numFmtId="0" fontId="0" fillId="2" borderId="0" xfId="0" applyFill="1" applyAlignment="1">
      <alignment horizontal="left" vertical="center" wrapText="1"/>
    </xf>
    <xf numFmtId="0" fontId="0" fillId="2" borderId="15" xfId="0" applyFill="1" applyBorder="1" applyAlignment="1">
      <alignment horizontal="left" vertical="center" wrapText="1"/>
    </xf>
    <xf numFmtId="0" fontId="0" fillId="2" borderId="19" xfId="0" applyFill="1" applyBorder="1" applyAlignment="1">
      <alignment horizontal="left" vertical="center" wrapText="1"/>
    </xf>
    <xf numFmtId="0" fontId="0" fillId="2" borderId="18" xfId="0" applyFill="1" applyBorder="1" applyAlignment="1">
      <alignment horizontal="left" vertical="center" wrapText="1"/>
    </xf>
    <xf numFmtId="0" fontId="0" fillId="2" borderId="17" xfId="0" applyFill="1" applyBorder="1" applyAlignment="1">
      <alignment horizontal="left" vertical="center" wrapText="1"/>
    </xf>
    <xf numFmtId="0" fontId="0" fillId="0" borderId="0" xfId="0" applyAlignment="1">
      <alignment horizontal="left" vertical="top" wrapText="1"/>
    </xf>
    <xf numFmtId="0" fontId="0" fillId="0" borderId="15" xfId="0" applyBorder="1" applyAlignment="1">
      <alignment horizontal="left" vertical="top" wrapText="1"/>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10"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4" borderId="11" xfId="0" applyFont="1" applyFill="1"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10"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11" xfId="0" applyBorder="1" applyAlignment="1">
      <alignment horizontal="left" vertical="top"/>
    </xf>
    <xf numFmtId="0" fontId="2" fillId="5" borderId="21" xfId="0" applyFont="1" applyFill="1" applyBorder="1" applyAlignment="1">
      <alignment horizontal="center"/>
    </xf>
    <xf numFmtId="0" fontId="2" fillId="5" borderId="22" xfId="0" applyFont="1" applyFill="1" applyBorder="1" applyAlignment="1">
      <alignment horizontal="center"/>
    </xf>
    <xf numFmtId="0" fontId="2" fillId="5" borderId="23" xfId="0" applyFont="1" applyFill="1" applyBorder="1" applyAlignment="1">
      <alignment horizontal="center"/>
    </xf>
    <xf numFmtId="16"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4" borderId="1" xfId="0" applyFill="1" applyBorder="1" applyAlignment="1">
      <alignment horizontal="left" vertical="top" wrapText="1"/>
    </xf>
    <xf numFmtId="0" fontId="0" fillId="4" borderId="2" xfId="0" applyFill="1" applyBorder="1" applyAlignment="1">
      <alignment horizontal="left" vertical="top" wrapText="1"/>
    </xf>
    <xf numFmtId="0" fontId="0" fillId="4" borderId="10" xfId="0" applyFill="1" applyBorder="1" applyAlignment="1">
      <alignment horizontal="left" vertical="top" wrapText="1"/>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0" fillId="4" borderId="11" xfId="0" applyFill="1" applyBorder="1" applyAlignment="1">
      <alignment horizontal="left" vertical="top" wrapText="1"/>
    </xf>
    <xf numFmtId="49" fontId="0" fillId="0" borderId="1" xfId="0" applyNumberFormat="1" applyBorder="1" applyAlignment="1">
      <alignment horizontal="center" vertical="center"/>
    </xf>
    <xf numFmtId="49" fontId="0" fillId="0" borderId="2" xfId="0" applyNumberFormat="1" applyBorder="1" applyAlignment="1">
      <alignment horizontal="center" vertical="center"/>
    </xf>
    <xf numFmtId="49" fontId="0" fillId="0" borderId="10" xfId="0" applyNumberFormat="1" applyBorder="1" applyAlignment="1">
      <alignment horizontal="center" vertical="center"/>
    </xf>
    <xf numFmtId="49" fontId="0" fillId="0" borderId="4" xfId="0" applyNumberFormat="1" applyBorder="1" applyAlignment="1">
      <alignment horizontal="center" vertical="center"/>
    </xf>
    <xf numFmtId="49" fontId="0" fillId="0" borderId="5" xfId="0" applyNumberFormat="1" applyBorder="1" applyAlignment="1">
      <alignment horizontal="center" vertical="center"/>
    </xf>
    <xf numFmtId="49" fontId="0" fillId="0" borderId="11" xfId="0" applyNumberFormat="1" applyBorder="1" applyAlignment="1">
      <alignment horizontal="center" vertical="center"/>
    </xf>
    <xf numFmtId="0" fontId="1" fillId="4" borderId="7" xfId="0" applyFont="1" applyFill="1" applyBorder="1" applyAlignment="1">
      <alignment horizontal="left"/>
    </xf>
    <xf numFmtId="0" fontId="1" fillId="4" borderId="12" xfId="0" applyFont="1" applyFill="1" applyBorder="1" applyAlignment="1">
      <alignment horizontal="left"/>
    </xf>
    <xf numFmtId="0" fontId="1" fillId="4" borderId="8" xfId="0" applyFont="1" applyFill="1" applyBorder="1" applyAlignment="1">
      <alignment horizontal="left"/>
    </xf>
    <xf numFmtId="0" fontId="0" fillId="0" borderId="7" xfId="0" applyBorder="1" applyAlignment="1">
      <alignment horizontal="left" vertical="top"/>
    </xf>
    <xf numFmtId="0" fontId="0" fillId="0" borderId="12" xfId="0" applyBorder="1" applyAlignment="1">
      <alignment horizontal="left" vertical="top"/>
    </xf>
    <xf numFmtId="0" fontId="0" fillId="0" borderId="8" xfId="0" applyBorder="1" applyAlignment="1">
      <alignment horizontal="left" vertical="top"/>
    </xf>
    <xf numFmtId="0" fontId="0" fillId="2" borderId="0" xfId="0" applyFill="1" applyAlignment="1">
      <alignment horizontal="center"/>
    </xf>
    <xf numFmtId="0" fontId="0" fillId="0" borderId="7" xfId="0" applyBorder="1" applyAlignment="1">
      <alignment horizontal="center"/>
    </xf>
    <xf numFmtId="0" fontId="0" fillId="0" borderId="12"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11" fillId="2" borderId="0" xfId="0" applyFont="1" applyFill="1" applyAlignment="1">
      <alignment horizontal="center"/>
    </xf>
    <xf numFmtId="0" fontId="0" fillId="0" borderId="25"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0" fillId="2" borderId="25" xfId="0" applyFill="1" applyBorder="1" applyAlignment="1">
      <alignment horizontal="center"/>
    </xf>
    <xf numFmtId="0" fontId="0" fillId="2" borderId="5" xfId="0" applyFill="1" applyBorder="1" applyAlignment="1">
      <alignment horizontal="center"/>
    </xf>
  </cellXfs>
  <cellStyles count="1">
    <cellStyle name="Normal" xfId="0" builtinId="0"/>
  </cellStyles>
  <dxfs count="23">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
      <border diagonalUp="0" diagonalDown="0" outline="0">
        <left/>
        <right/>
        <top/>
        <bottom/>
      </border>
    </dxf>
    <dxf>
      <font>
        <sz val="12"/>
        <color auto="1"/>
        <name val="Arial"/>
        <scheme val="none"/>
      </font>
      <numFmt numFmtId="166" formatCode="_(* #,##0_);_(* \(#,##0\);_(* &quot;-&quot;??_);_(@_)"/>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z val="12"/>
        <color auto="1"/>
        <name val="Arial"/>
        <scheme val="none"/>
      </font>
      <fill>
        <patternFill patternType="none">
          <fgColor indexed="64"/>
          <bgColor indexed="65"/>
        </patternFill>
      </fill>
      <alignment horizontal="left" vertical="bottom" textRotation="0" wrapText="0" indent="0" justifyLastLine="0" shrinkToFit="0" readingOrder="0"/>
    </dxf>
    <dxf>
      <border outline="0">
        <bottom style="thin">
          <color indexed="64"/>
        </bottom>
      </border>
    </dxf>
    <dxf>
      <border diagonalUp="0" diagonalDown="0" outline="0">
        <left/>
        <right/>
        <top/>
        <bottom/>
      </border>
    </dxf>
    <dxf>
      <numFmt numFmtId="30" formatCode="@"/>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9525</xdr:colOff>
      <xdr:row>12</xdr:row>
      <xdr:rowOff>19050</xdr:rowOff>
    </xdr:from>
    <xdr:to>
      <xdr:col>6</xdr:col>
      <xdr:colOff>19050</xdr:colOff>
      <xdr:row>20</xdr:row>
      <xdr:rowOff>114299</xdr:rowOff>
    </xdr:to>
    <xdr:sp macro="" textlink="">
      <xdr:nvSpPr>
        <xdr:cNvPr id="2" name="1 CuadroTexto">
          <a:extLst>
            <a:ext uri="{FF2B5EF4-FFF2-40B4-BE49-F238E27FC236}">
              <a16:creationId xmlns:a16="http://schemas.microsoft.com/office/drawing/2014/main" id="{00000000-0008-0000-0000-000002000000}"/>
            </a:ext>
          </a:extLst>
        </xdr:cNvPr>
        <xdr:cNvSpPr txBox="1"/>
      </xdr:nvSpPr>
      <xdr:spPr>
        <a:xfrm>
          <a:off x="7734300" y="2400300"/>
          <a:ext cx="1323975" cy="1847849"/>
        </a:xfrm>
        <a:prstGeom prst="rect">
          <a:avLst/>
        </a:prstGeom>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s-AR" sz="1100" b="1"/>
            <a:t>Para</a:t>
          </a:r>
          <a:r>
            <a:rPr lang="es-AR" sz="1100" b="1" baseline="0"/>
            <a:t> cálculo de Anticipo y Rendición de Viáticos f</a:t>
          </a:r>
          <a:r>
            <a:rPr lang="es-AR" sz="1100" b="1"/>
            <a:t>avor de completar también el Cuadro Inferior</a:t>
          </a:r>
          <a:r>
            <a:rPr lang="es-AR" sz="1100" b="1" baseline="0"/>
            <a:t> con el correspondiente itinerario</a:t>
          </a:r>
          <a:endParaRPr lang="es-AR" sz="1100" b="1"/>
        </a:p>
      </xdr:txBody>
    </xdr:sp>
    <xdr:clientData/>
  </xdr:twoCellAnchor>
  <xdr:twoCellAnchor editAs="oneCell">
    <xdr:from>
      <xdr:col>7</xdr:col>
      <xdr:colOff>0</xdr:colOff>
      <xdr:row>12</xdr:row>
      <xdr:rowOff>0</xdr:rowOff>
    </xdr:from>
    <xdr:to>
      <xdr:col>7</xdr:col>
      <xdr:colOff>304800</xdr:colOff>
      <xdr:row>12</xdr:row>
      <xdr:rowOff>304800</xdr:rowOff>
    </xdr:to>
    <xdr:sp macro="" textlink="">
      <xdr:nvSpPr>
        <xdr:cNvPr id="3" name="AutoShape 10" descr="Imágenes de Bombilla Dibujo - Descarga gratuita en Freepik">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9934575" y="238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xdr:row>
      <xdr:rowOff>0</xdr:rowOff>
    </xdr:from>
    <xdr:to>
      <xdr:col>7</xdr:col>
      <xdr:colOff>304800</xdr:colOff>
      <xdr:row>12</xdr:row>
      <xdr:rowOff>304800</xdr:rowOff>
    </xdr:to>
    <xdr:sp macro="" textlink="">
      <xdr:nvSpPr>
        <xdr:cNvPr id="4" name="AutoShape 11" descr="Imágenes de Bombilla Dibujo - Descarga gratuita en Freepik">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9934575" y="238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xdr:row>
      <xdr:rowOff>0</xdr:rowOff>
    </xdr:from>
    <xdr:to>
      <xdr:col>7</xdr:col>
      <xdr:colOff>304800</xdr:colOff>
      <xdr:row>12</xdr:row>
      <xdr:rowOff>304800</xdr:rowOff>
    </xdr:to>
    <xdr:sp macro="" textlink="">
      <xdr:nvSpPr>
        <xdr:cNvPr id="5" name="AutoShape 12" descr="Vector gratuito ilustración del icono de la bombilla">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9934575" y="238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xdr:row>
      <xdr:rowOff>0</xdr:rowOff>
    </xdr:from>
    <xdr:to>
      <xdr:col>7</xdr:col>
      <xdr:colOff>304800</xdr:colOff>
      <xdr:row>12</xdr:row>
      <xdr:rowOff>304800</xdr:rowOff>
    </xdr:to>
    <xdr:sp macro="" textlink="">
      <xdr:nvSpPr>
        <xdr:cNvPr id="6" name="AutoShape 13" descr="Vector gratuito ilustración del icono de la bombilla">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9934575" y="238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990600</xdr:colOff>
      <xdr:row>18</xdr:row>
      <xdr:rowOff>95250</xdr:rowOff>
    </xdr:from>
    <xdr:to>
      <xdr:col>5</xdr:col>
      <xdr:colOff>1285875</xdr:colOff>
      <xdr:row>20</xdr:row>
      <xdr:rowOff>66675</xdr:rowOff>
    </xdr:to>
    <xdr:pic>
      <xdr:nvPicPr>
        <xdr:cNvPr id="7" name="6 Imagen">
          <a:extLst>
            <a:ext uri="{FF2B5EF4-FFF2-40B4-BE49-F238E27FC236}">
              <a16:creationId xmlns:a16="http://schemas.microsoft.com/office/drawing/2014/main" id="{00000000-0008-0000-0000-000007000000}"/>
            </a:ext>
          </a:extLst>
        </xdr:cNvPr>
        <xdr:cNvPicPr/>
      </xdr:nvPicPr>
      <xdr:blipFill rotWithShape="1">
        <a:blip xmlns:r="http://schemas.openxmlformats.org/officeDocument/2006/relationships" r:embed="rId1"/>
        <a:srcRect l="34465" t="35538" r="35654" b="17380"/>
        <a:stretch/>
      </xdr:blipFill>
      <xdr:spPr bwMode="auto">
        <a:xfrm>
          <a:off x="8715375" y="3819525"/>
          <a:ext cx="295275" cy="381000"/>
        </a:xfrm>
        <a:prstGeom prst="rect">
          <a:avLst/>
        </a:prstGeom>
        <a:ln>
          <a:noFill/>
        </a:ln>
        <a:extLst>
          <a:ext uri="{53640926-AAD7-44D8-BBD7-CCE9431645EC}">
            <a14:shadowObscured xmlns:a14="http://schemas.microsoft.com/office/drawing/2010/main"/>
          </a:ext>
        </a:extLst>
      </xdr:spPr>
    </xdr:pic>
    <xdr:clientData/>
  </xdr:twoCellAnchor>
  <xdr:twoCellAnchor>
    <xdr:from>
      <xdr:col>5</xdr:col>
      <xdr:colOff>0</xdr:colOff>
      <xdr:row>34</xdr:row>
      <xdr:rowOff>0</xdr:rowOff>
    </xdr:from>
    <xdr:to>
      <xdr:col>8</xdr:col>
      <xdr:colOff>28575</xdr:colOff>
      <xdr:row>35</xdr:row>
      <xdr:rowOff>400050</xdr:rowOff>
    </xdr:to>
    <xdr:sp macro="" textlink="">
      <xdr:nvSpPr>
        <xdr:cNvPr id="8" name="1 CuadroTexto">
          <a:extLst>
            <a:ext uri="{FF2B5EF4-FFF2-40B4-BE49-F238E27FC236}">
              <a16:creationId xmlns:a16="http://schemas.microsoft.com/office/drawing/2014/main" id="{00000000-0008-0000-0000-000008000000}"/>
            </a:ext>
          </a:extLst>
        </xdr:cNvPr>
        <xdr:cNvSpPr txBox="1"/>
      </xdr:nvSpPr>
      <xdr:spPr>
        <a:xfrm>
          <a:off x="7724775" y="7181850"/>
          <a:ext cx="3124200" cy="771525"/>
        </a:xfrm>
        <a:prstGeom prst="rect">
          <a:avLst/>
        </a:prstGeom>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s-AR" sz="1100" b="1"/>
            <a:t>Se deberán adjuntar los comprobantes respaldatorios</a:t>
          </a:r>
        </a:p>
      </xdr:txBody>
    </xdr:sp>
    <xdr:clientData/>
  </xdr:twoCellAnchor>
  <xdr:twoCellAnchor editAs="oneCell">
    <xdr:from>
      <xdr:col>6</xdr:col>
      <xdr:colOff>171450</xdr:colOff>
      <xdr:row>35</xdr:row>
      <xdr:rowOff>0</xdr:rowOff>
    </xdr:from>
    <xdr:to>
      <xdr:col>6</xdr:col>
      <xdr:colOff>466725</xdr:colOff>
      <xdr:row>35</xdr:row>
      <xdr:rowOff>381000</xdr:rowOff>
    </xdr:to>
    <xdr:pic>
      <xdr:nvPicPr>
        <xdr:cNvPr id="9" name="6 Imagen">
          <a:extLst>
            <a:ext uri="{FF2B5EF4-FFF2-40B4-BE49-F238E27FC236}">
              <a16:creationId xmlns:a16="http://schemas.microsoft.com/office/drawing/2014/main" id="{00000000-0008-0000-0000-000009000000}"/>
            </a:ext>
          </a:extLst>
        </xdr:cNvPr>
        <xdr:cNvPicPr/>
      </xdr:nvPicPr>
      <xdr:blipFill rotWithShape="1">
        <a:blip xmlns:r="http://schemas.openxmlformats.org/officeDocument/2006/relationships" r:embed="rId1"/>
        <a:srcRect l="34465" t="35538" r="35654" b="17380"/>
        <a:stretch/>
      </xdr:blipFill>
      <xdr:spPr bwMode="auto">
        <a:xfrm>
          <a:off x="9210675" y="7553325"/>
          <a:ext cx="295275" cy="381000"/>
        </a:xfrm>
        <a:prstGeom prst="rect">
          <a:avLst/>
        </a:prstGeom>
        <a:ln>
          <a:noFill/>
        </a:ln>
        <a:extLst>
          <a:ext uri="{53640926-AAD7-44D8-BBD7-CCE9431645EC}">
            <a14:shadowObscured xmlns:a14="http://schemas.microsoft.com/office/drawing/2010/main"/>
          </a:ext>
        </a:extLst>
      </xdr:spPr>
    </xdr:pic>
    <xdr:clientData/>
  </xdr:twoCellAnchor>
  <xdr:twoCellAnchor>
    <xdr:from>
      <xdr:col>6</xdr:col>
      <xdr:colOff>212725</xdr:colOff>
      <xdr:row>1</xdr:row>
      <xdr:rowOff>95250</xdr:rowOff>
    </xdr:from>
    <xdr:to>
      <xdr:col>7</xdr:col>
      <xdr:colOff>758825</xdr:colOff>
      <xdr:row>5</xdr:row>
      <xdr:rowOff>47625</xdr:rowOff>
    </xdr:to>
    <xdr:sp macro="" textlink="">
      <xdr:nvSpPr>
        <xdr:cNvPr id="10" name="CuadroTexto 9">
          <a:extLst>
            <a:ext uri="{FF2B5EF4-FFF2-40B4-BE49-F238E27FC236}">
              <a16:creationId xmlns:a16="http://schemas.microsoft.com/office/drawing/2014/main" id="{00000000-0008-0000-0000-00000A000000}"/>
            </a:ext>
          </a:extLst>
        </xdr:cNvPr>
        <xdr:cNvSpPr txBox="1"/>
      </xdr:nvSpPr>
      <xdr:spPr>
        <a:xfrm>
          <a:off x="9245600" y="730250"/>
          <a:ext cx="1435100" cy="809625"/>
        </a:xfrm>
        <a:prstGeom prst="rect">
          <a:avLst/>
        </a:prstGeom>
        <a:solidFill>
          <a:schemeClr val="lt1"/>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AR" sz="1500" b="1">
              <a:solidFill>
                <a:sysClr val="windowText" lastClr="000000"/>
              </a:solidFill>
            </a:rPr>
            <a:t>Favor</a:t>
          </a:r>
          <a:r>
            <a:rPr lang="es-AR" sz="1500" b="1" baseline="0">
              <a:solidFill>
                <a:sysClr val="windowText" lastClr="000000"/>
              </a:solidFill>
            </a:rPr>
            <a:t> de NO Completar las celdas pintadas</a:t>
          </a:r>
          <a:endParaRPr lang="es-AR" sz="1500" b="1">
            <a:solidFill>
              <a:sysClr val="windowText" lastClr="000000"/>
            </a:solidFill>
          </a:endParaRPr>
        </a:p>
      </xdr:txBody>
    </xdr:sp>
    <xdr:clientData/>
  </xdr:twoCellAnchor>
  <xdr:twoCellAnchor editAs="oneCell">
    <xdr:from>
      <xdr:col>0</xdr:col>
      <xdr:colOff>323850</xdr:colOff>
      <xdr:row>0</xdr:row>
      <xdr:rowOff>66675</xdr:rowOff>
    </xdr:from>
    <xdr:to>
      <xdr:col>0</xdr:col>
      <xdr:colOff>1733550</xdr:colOff>
      <xdr:row>0</xdr:row>
      <xdr:rowOff>600075</xdr:rowOff>
    </xdr:to>
    <xdr:pic>
      <xdr:nvPicPr>
        <xdr:cNvPr id="11" name="Imagen 10">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2" cstate="print"/>
        <a:srcRect/>
        <a:stretch>
          <a:fillRect/>
        </a:stretch>
      </xdr:blipFill>
      <xdr:spPr bwMode="auto">
        <a:xfrm>
          <a:off x="323850" y="66675"/>
          <a:ext cx="1409700" cy="5334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180975</xdr:colOff>
      <xdr:row>6</xdr:row>
      <xdr:rowOff>171450</xdr:rowOff>
    </xdr:from>
    <xdr:to>
      <xdr:col>12</xdr:col>
      <xdr:colOff>571500</xdr:colOff>
      <xdr:row>8</xdr:row>
      <xdr:rowOff>95250</xdr:rowOff>
    </xdr:to>
    <xdr:sp macro="" textlink="">
      <xdr:nvSpPr>
        <xdr:cNvPr id="2" name="Cuadro de texto 8">
          <a:extLst>
            <a:ext uri="{FF2B5EF4-FFF2-40B4-BE49-F238E27FC236}">
              <a16:creationId xmlns:a16="http://schemas.microsoft.com/office/drawing/2014/main" id="{00000000-0008-0000-0300-000002000000}"/>
            </a:ext>
          </a:extLst>
        </xdr:cNvPr>
        <xdr:cNvSpPr txBox="1"/>
      </xdr:nvSpPr>
      <xdr:spPr>
        <a:xfrm>
          <a:off x="6276975" y="1438275"/>
          <a:ext cx="1609725" cy="304800"/>
        </a:xfrm>
        <a:prstGeom prst="rect">
          <a:avLst/>
        </a:prstGeom>
        <a:solidFill>
          <a:schemeClr val="lt1"/>
        </a:solidFill>
        <a:ln w="6350">
          <a:solidFill>
            <a:prstClr val="black"/>
          </a:solid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spcAft>
              <a:spcPts val="0"/>
            </a:spcAft>
          </a:pPr>
          <a:r>
            <a:rPr lang="es-ES" sz="1200">
              <a:effectLst/>
              <a:latin typeface="Times New Roman" panose="02020603050405020304" pitchFamily="18" charset="0"/>
              <a:ea typeface="Times New Roman" panose="02020603050405020304" pitchFamily="18" charset="0"/>
            </a:rPr>
            <a:t>FECHA  ..../…. /……</a:t>
          </a:r>
          <a:endParaRPr lang="es-AR" sz="1200">
            <a:effectLst/>
            <a:latin typeface="Times New Roman" panose="02020603050405020304" pitchFamily="18" charset="0"/>
            <a:ea typeface="Times New Roman" panose="02020603050405020304" pitchFamily="18" charset="0"/>
          </a:endParaRPr>
        </a:p>
      </xdr:txBody>
    </xdr:sp>
    <xdr:clientData/>
  </xdr:twoCellAnchor>
  <xdr:twoCellAnchor editAs="oneCell">
    <xdr:from>
      <xdr:col>0</xdr:col>
      <xdr:colOff>171450</xdr:colOff>
      <xdr:row>1</xdr:row>
      <xdr:rowOff>28575</xdr:rowOff>
    </xdr:from>
    <xdr:to>
      <xdr:col>2</xdr:col>
      <xdr:colOff>542924</xdr:colOff>
      <xdr:row>3</xdr:row>
      <xdr:rowOff>184069</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71450" y="219075"/>
          <a:ext cx="1590674" cy="5364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142875</xdr:rowOff>
    </xdr:from>
    <xdr:to>
      <xdr:col>0</xdr:col>
      <xdr:colOff>1638300</xdr:colOff>
      <xdr:row>3</xdr:row>
      <xdr:rowOff>104775</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52400" y="142875"/>
          <a:ext cx="1485900" cy="533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ernandez.ernesto/Documents/Documentos%20Fundacion/Nuevos%20Formularios/Solicitud%20de%20compras.xlsx" TargetMode="External"/><Relationship Id="rId1" Type="http://schemas.openxmlformats.org/officeDocument/2006/relationships/externalLinkPath" Target="/Users/fernandez.ernesto/Documents/Documentos%20Fundacion/Nuevos%20Formularios/Solicitud%20de%20compr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LICITUD DE COMPRA"/>
      <sheetName val="Listado de proyectos"/>
      <sheetName val="tablas auxiliares"/>
    </sheetNames>
    <sheetDataSet>
      <sheetData sheetId="0"/>
      <sheetData sheetId="1">
        <row r="2">
          <cell r="A2" t="str">
            <v>5.2.14</v>
          </cell>
          <cell r="B2" t="str">
            <v>USDA</v>
          </cell>
          <cell r="C2" t="str">
            <v>OTROS</v>
          </cell>
        </row>
        <row r="3">
          <cell r="A3" t="str">
            <v>5.2.15</v>
          </cell>
          <cell r="B3" t="str">
            <v>PIRBRIGHT</v>
          </cell>
          <cell r="C3" t="str">
            <v>OTROS</v>
          </cell>
        </row>
        <row r="4">
          <cell r="A4" t="str">
            <v>5.2.16</v>
          </cell>
          <cell r="B4" t="str">
            <v>FTG- ATN/RF-16678-RG - Tizón de Papa</v>
          </cell>
          <cell r="C4" t="str">
            <v>FONTAGRO</v>
          </cell>
        </row>
        <row r="5">
          <cell r="A5" t="str">
            <v>5.2.19</v>
          </cell>
          <cell r="B5" t="str">
            <v>JIRCAS</v>
          </cell>
          <cell r="C5" t="str">
            <v>OTROS</v>
          </cell>
        </row>
        <row r="6">
          <cell r="A6" t="str">
            <v>5.2.20</v>
          </cell>
          <cell r="B6" t="str">
            <v>FTG-ATN/RF-16680-RG - Ganaderia familiar</v>
          </cell>
          <cell r="C6" t="str">
            <v>FONTAGRO</v>
          </cell>
        </row>
        <row r="7">
          <cell r="A7" t="str">
            <v>5.2.21</v>
          </cell>
          <cell r="B7" t="str">
            <v>GIZ-SPIPA</v>
          </cell>
          <cell r="C7" t="str">
            <v>OTROS</v>
          </cell>
        </row>
        <row r="8">
          <cell r="A8" t="str">
            <v>5.2.22</v>
          </cell>
          <cell r="B8" t="str">
            <v>H2020 - GA Nº 823967 – ProCEedS</v>
          </cell>
          <cell r="C8" t="str">
            <v>EU-H2020</v>
          </cell>
        </row>
        <row r="9">
          <cell r="A9" t="str">
            <v>5.2.23</v>
          </cell>
          <cell r="B9" t="str">
            <v>CONSULTORIA - Proyecto FCPF – Donación BIRF Nº TF 19086</v>
          </cell>
          <cell r="C9" t="str">
            <v>OTROS</v>
          </cell>
        </row>
        <row r="10">
          <cell r="A10" t="str">
            <v>5.2.29.1</v>
          </cell>
          <cell r="B10" t="str">
            <v>FTG-ATN/RF-16926-RG - Leguminosas</v>
          </cell>
          <cell r="C10" t="str">
            <v>FONTAGRO</v>
          </cell>
        </row>
        <row r="11">
          <cell r="A11" t="str">
            <v>5.2.3</v>
          </cell>
          <cell r="B11" t="str">
            <v>FTG- ATN/RF-16108-RG- Agricultores Familiares</v>
          </cell>
          <cell r="C11" t="str">
            <v>FONTAGRO</v>
          </cell>
        </row>
        <row r="12">
          <cell r="A12" t="str">
            <v>5.2.30.1</v>
          </cell>
          <cell r="B12" t="str">
            <v>FTG-ATN/RF-17232-RG- HLB</v>
          </cell>
          <cell r="C12" t="str">
            <v>FONTAGRO</v>
          </cell>
        </row>
        <row r="13">
          <cell r="A13" t="str">
            <v>5.2.31.111</v>
          </cell>
          <cell r="B13" t="str">
            <v xml:space="preserve">IVVN    International Veterinary Vaccinology Network </v>
          </cell>
          <cell r="C13" t="str">
            <v>OTROS</v>
          </cell>
        </row>
        <row r="14">
          <cell r="A14" t="str">
            <v>5.2.32</v>
          </cell>
          <cell r="B14" t="str">
            <v>BAYER Grants4Traits – Appl. Nº 042</v>
          </cell>
          <cell r="C14" t="str">
            <v>OTROS</v>
          </cell>
        </row>
        <row r="15">
          <cell r="A15" t="str">
            <v>5.2.33</v>
          </cell>
          <cell r="B15" t="str">
            <v xml:space="preserve">BAYER Grants4Biologicals – Appl. Nº 033 </v>
          </cell>
          <cell r="C15" t="str">
            <v>OTROS</v>
          </cell>
        </row>
        <row r="16">
          <cell r="A16" t="str">
            <v>5.2.34.1</v>
          </cell>
          <cell r="B16" t="str">
            <v>H2020 GA Nº 862849 FERTIMANURE</v>
          </cell>
          <cell r="C16" t="str">
            <v>EU-H2020</v>
          </cell>
        </row>
        <row r="17">
          <cell r="A17" t="str">
            <v>5.2.35.1</v>
          </cell>
          <cell r="B17" t="str">
            <v xml:space="preserve">H2020 - GA Nº 857804 – DIBICOO </v>
          </cell>
          <cell r="C17" t="str">
            <v>EU-H2020</v>
          </cell>
        </row>
        <row r="18">
          <cell r="A18" t="str">
            <v>5.2.36.1</v>
          </cell>
          <cell r="B18" t="str">
            <v>UNIVERSIDAD DE GEORGIA</v>
          </cell>
          <cell r="C18" t="str">
            <v>OTROS</v>
          </cell>
        </row>
        <row r="19">
          <cell r="A19" t="str">
            <v>5.2.37.1</v>
          </cell>
          <cell r="B19" t="str">
            <v>Hipra Scientific S.L.U.</v>
          </cell>
          <cell r="C19" t="str">
            <v>OTROS</v>
          </cell>
        </row>
        <row r="20">
          <cell r="A20" t="str">
            <v>5.2.38.1</v>
          </cell>
          <cell r="B20" t="str">
            <v>PROCISUR- HLB</v>
          </cell>
          <cell r="C20" t="str">
            <v>PROCISUR</v>
          </cell>
        </row>
        <row r="21">
          <cell r="A21" t="str">
            <v>5.2.39.1</v>
          </cell>
          <cell r="B21" t="str">
            <v>INIA - INTA - FA (REDD+) “ Emisión y Remoción de GEI”</v>
          </cell>
          <cell r="C21" t="str">
            <v>OTROS</v>
          </cell>
        </row>
        <row r="22">
          <cell r="A22" t="str">
            <v>5.2.4</v>
          </cell>
          <cell r="B22" t="str">
            <v>FTG- ATN/RF-16112-RG - Gran Chaco</v>
          </cell>
          <cell r="C22" t="str">
            <v>FONTAGRO</v>
          </cell>
        </row>
        <row r="23">
          <cell r="A23" t="str">
            <v>5.2.40.1</v>
          </cell>
          <cell r="B23" t="str">
            <v>FTG-ATN/RF-15940-RG- Lechería</v>
          </cell>
          <cell r="C23" t="str">
            <v>FONTAGRO</v>
          </cell>
        </row>
        <row r="24">
          <cell r="A24" t="str">
            <v>5.2.41</v>
          </cell>
          <cell r="B24" t="str">
            <v>REZATEC</v>
          </cell>
          <cell r="C24" t="str">
            <v>OTROS</v>
          </cell>
        </row>
        <row r="25">
          <cell r="A25" t="str">
            <v>5.2.42</v>
          </cell>
          <cell r="B25" t="str">
            <v>Acuerdo de Transferencia INTA - VETAL</v>
          </cell>
          <cell r="C25" t="str">
            <v>OTROS</v>
          </cell>
        </row>
        <row r="26">
          <cell r="A26" t="str">
            <v>5.2.43.1</v>
          </cell>
          <cell r="B26" t="str">
            <v>Curso Virtual IUIS-VIC</v>
          </cell>
          <cell r="C26" t="str">
            <v>OTROS</v>
          </cell>
        </row>
        <row r="27">
          <cell r="A27" t="str">
            <v>5.2.44.1</v>
          </cell>
          <cell r="B27" t="str">
            <v>FTG- ATN/RF-17245-RG(RG-T3387) - Regante</v>
          </cell>
          <cell r="C27" t="str">
            <v>FONTAGRO</v>
          </cell>
        </row>
        <row r="28">
          <cell r="A28" t="str">
            <v>5.2.45</v>
          </cell>
          <cell r="B28" t="str">
            <v>Carta Acuerdo N° 3/2020 - INIDEP CTMFM</v>
          </cell>
          <cell r="C28" t="str">
            <v>OTROS</v>
          </cell>
        </row>
        <row r="29">
          <cell r="A29" t="str">
            <v>5.2.47</v>
          </cell>
          <cell r="B29" t="str">
            <v>PROCISUR-Leguminosas-FTG</v>
          </cell>
          <cell r="C29" t="str">
            <v>PROCISUR</v>
          </cell>
        </row>
        <row r="30">
          <cell r="A30" t="str">
            <v>5.2.48.1</v>
          </cell>
          <cell r="B30" t="str">
            <v>Universidad de Georgia (UGA) - Carbón de maní</v>
          </cell>
          <cell r="C30" t="str">
            <v>OTROS</v>
          </cell>
        </row>
        <row r="31">
          <cell r="A31" t="str">
            <v>5.2.50</v>
          </cell>
          <cell r="B31" t="str">
            <v>Orden de trabajo – ERM Argentina S.A.</v>
          </cell>
          <cell r="C31" t="str">
            <v>OTROS</v>
          </cell>
        </row>
        <row r="32">
          <cell r="A32" t="str">
            <v>5.2.51</v>
          </cell>
          <cell r="B32" t="str">
            <v>C/A N° 01/2020 – INIDEP – FA (Proyecto FAO)</v>
          </cell>
          <cell r="C32" t="str">
            <v>OTROS</v>
          </cell>
        </row>
        <row r="33">
          <cell r="A33" t="str">
            <v>5.2.53.1</v>
          </cell>
          <cell r="B33" t="str">
            <v>H2020 Phy2Climate - GA N° 101006912</v>
          </cell>
          <cell r="C33" t="str">
            <v>EU-H2020</v>
          </cell>
        </row>
        <row r="34">
          <cell r="A34" t="str">
            <v>5.2.54.1</v>
          </cell>
          <cell r="B34" t="str">
            <v>CONTRATO DE SERVICIOS N° 40329751/0 – OIT</v>
          </cell>
          <cell r="C34" t="str">
            <v>OTROS</v>
          </cell>
        </row>
        <row r="35">
          <cell r="A35" t="str">
            <v>5.2.55.1</v>
          </cell>
          <cell r="B35" t="str">
            <v>FTG. ATN/RF-18136-RG (RG-T3584)-Coccidiosis Aviar</v>
          </cell>
          <cell r="C35" t="str">
            <v>FONTAGRO</v>
          </cell>
        </row>
        <row r="36">
          <cell r="A36" t="str">
            <v>5.2.56.1</v>
          </cell>
          <cell r="B36" t="str">
            <v>FTG- ATN/RF-17950-RG -Eficiencia del Uso del Agua- Co ejec DGI</v>
          </cell>
          <cell r="C36" t="str">
            <v>FONTAGRO</v>
          </cell>
        </row>
        <row r="37">
          <cell r="A37" t="str">
            <v>5.2.57.1</v>
          </cell>
          <cell r="B37" t="str">
            <v>FTG-ATN/RF-18078-RG (RG-T3587)- AGTECH LECHERIA INTELIGENTE</v>
          </cell>
          <cell r="C37" t="str">
            <v>FONTAGRO</v>
          </cell>
        </row>
        <row r="38">
          <cell r="A38" t="str">
            <v>5.2.58.1</v>
          </cell>
          <cell r="B38" t="str">
            <v>FTG- ATN/RF-17950-RG -Eficiencia del Uso del Agua- Co ejec INTA</v>
          </cell>
          <cell r="C38" t="str">
            <v>FONTAGRO</v>
          </cell>
        </row>
        <row r="39">
          <cell r="A39" t="str">
            <v>5.2.59.1</v>
          </cell>
          <cell r="B39" t="str">
            <v>FTG-ATN/RF-18077-RG- Gestión del Pasto- Co ejec INTA</v>
          </cell>
          <cell r="C39" t="str">
            <v>FONTAGRO</v>
          </cell>
        </row>
        <row r="40">
          <cell r="A40" t="str">
            <v>5.2.60.1</v>
          </cell>
          <cell r="B40" t="str">
            <v>FTG-CO-EJECUCIÓN FCA UNC - AGTECH LECHERIA</v>
          </cell>
          <cell r="C40" t="str">
            <v>FONTAGRO</v>
          </cell>
        </row>
        <row r="41">
          <cell r="A41" t="str">
            <v>5.2.61.1</v>
          </cell>
          <cell r="B41" t="str">
            <v>FTG-ATN/RF-18079-RG (RG-T3585)- Productividad Bovina</v>
          </cell>
          <cell r="C41" t="str">
            <v>FONTAGRO</v>
          </cell>
        </row>
        <row r="42">
          <cell r="A42" t="str">
            <v>5.2.62.1</v>
          </cell>
          <cell r="B42" t="str">
            <v>H2020 - SOILGUARD - GA N° 101000371</v>
          </cell>
          <cell r="C42" t="str">
            <v>EU-H2020</v>
          </cell>
        </row>
        <row r="43">
          <cell r="A43" t="str">
            <v>5.2.63.1</v>
          </cell>
          <cell r="B43" t="str">
            <v xml:space="preserve">Carta Acuerdo INTA-FA DIBICOO  </v>
          </cell>
          <cell r="C43" t="str">
            <v>OTROS</v>
          </cell>
        </row>
        <row r="44">
          <cell r="A44" t="str">
            <v>5.2.64.1</v>
          </cell>
          <cell r="B44" t="str">
            <v>Carta Acuerdo INTA - FA - INIA REDD +  “ Emisión y Remoción de GEI”</v>
          </cell>
          <cell r="C44" t="str">
            <v>OTROS</v>
          </cell>
        </row>
        <row r="45">
          <cell r="A45" t="str">
            <v>5.2.66</v>
          </cell>
          <cell r="B45" t="str">
            <v xml:space="preserve">Universidad de Liverpool </v>
          </cell>
          <cell r="C45" t="str">
            <v>OTROS</v>
          </cell>
        </row>
        <row r="46">
          <cell r="A46" t="str">
            <v>5.2.67</v>
          </cell>
          <cell r="B46" t="str">
            <v>BAYER - Grants4 Ag Initiative</v>
          </cell>
          <cell r="C46" t="str">
            <v>OTROS</v>
          </cell>
        </row>
        <row r="47">
          <cell r="A47" t="str">
            <v>5.2.68.1</v>
          </cell>
          <cell r="B47" t="str">
            <v>FTG-ATN/RF-18105-RG-Arroz  Productivo</v>
          </cell>
          <cell r="C47" t="str">
            <v>FONTAGRO</v>
          </cell>
        </row>
        <row r="48">
          <cell r="A48" t="str">
            <v>5.2.69.1</v>
          </cell>
          <cell r="B48" t="str">
            <v xml:space="preserve">STE N°2855-DSM </v>
          </cell>
          <cell r="C48" t="str">
            <v>OTROS</v>
          </cell>
        </row>
        <row r="49">
          <cell r="A49" t="str">
            <v>5.2.7</v>
          </cell>
          <cell r="B49" t="str">
            <v>FTG-ARN/RF-15460-RG -INIA –SEMILLAS - Coej. INTA</v>
          </cell>
          <cell r="C49" t="str">
            <v>FONTAGRO</v>
          </cell>
        </row>
        <row r="50">
          <cell r="A50" t="str">
            <v>5.2.70</v>
          </cell>
          <cell r="B50" t="str">
            <v>Contrato IAEA N° 20709</v>
          </cell>
          <cell r="C50" t="str">
            <v>OTROS</v>
          </cell>
        </row>
        <row r="51">
          <cell r="A51" t="str">
            <v>5.2.71.1</v>
          </cell>
          <cell r="B51" t="str">
            <v xml:space="preserve">Carta Acuerdo INTA -FAO ( TCP/RLA/3805) </v>
          </cell>
          <cell r="C51" t="str">
            <v>OTROS</v>
          </cell>
        </row>
        <row r="52">
          <cell r="A52" t="str">
            <v>5.2.72.1</v>
          </cell>
          <cell r="B52" t="str">
            <v xml:space="preserve">PROCISUR – EDICIÓN GÉNICA </v>
          </cell>
          <cell r="C52" t="str">
            <v>PROCISUR</v>
          </cell>
        </row>
        <row r="53">
          <cell r="A53" t="str">
            <v>5.2.73</v>
          </cell>
          <cell r="B53" t="str">
            <v>INTEGRITY</v>
          </cell>
          <cell r="C53" t="str">
            <v>OTROS</v>
          </cell>
        </row>
        <row r="54">
          <cell r="A54" t="str">
            <v>5.2.74.1</v>
          </cell>
          <cell r="B54" t="str">
            <v xml:space="preserve">Carta Acuerdo INTA - FA - H2020 FERTIMANURE  </v>
          </cell>
          <cell r="C54" t="str">
            <v>EU-H2020</v>
          </cell>
        </row>
        <row r="55">
          <cell r="A55" t="str">
            <v>5.2.75.1</v>
          </cell>
          <cell r="B55" t="str">
            <v>Carta Acuerdo INTA - FA – REZATEC</v>
          </cell>
          <cell r="C55" t="str">
            <v>OTROS</v>
          </cell>
        </row>
        <row r="56">
          <cell r="A56" t="str">
            <v>5.2.76.1</v>
          </cell>
          <cell r="B56" t="str">
            <v>FTG- ATN/RR-18757-RG - EDICION GENICA</v>
          </cell>
          <cell r="C56" t="str">
            <v>FONTAGRO</v>
          </cell>
        </row>
        <row r="57">
          <cell r="A57" t="str">
            <v>5.2.77.1</v>
          </cell>
          <cell r="B57" t="str">
            <v>FTG-ATN/RF-18786-RG - OXIDO NITROSO</v>
          </cell>
          <cell r="C57" t="str">
            <v>FONTAGRO</v>
          </cell>
        </row>
        <row r="58">
          <cell r="A58" t="str">
            <v>5.2.78.1</v>
          </cell>
          <cell r="B58" t="str">
            <v>STE N° 2942 INTA-VETAL</v>
          </cell>
          <cell r="C58" t="str">
            <v>OTROS</v>
          </cell>
        </row>
        <row r="59">
          <cell r="A59" t="str">
            <v>5.2.79</v>
          </cell>
          <cell r="B59" t="str">
            <v>The Nature Conservancy - Colecciones Nº 3, 4 y 5</v>
          </cell>
          <cell r="C59" t="str">
            <v>OTROS</v>
          </cell>
        </row>
        <row r="60">
          <cell r="A60" t="str">
            <v>5.2.80</v>
          </cell>
          <cell r="B60" t="str">
            <v>The Nature Conservancy - Agroideal</v>
          </cell>
          <cell r="C60" t="str">
            <v>OTROS</v>
          </cell>
        </row>
        <row r="61">
          <cell r="A61" t="str">
            <v>5.2.81</v>
          </cell>
          <cell r="B61" t="str">
            <v>C/A N° 4/2021 - INIDEP - IFOP</v>
          </cell>
          <cell r="C61" t="str">
            <v>OTROS</v>
          </cell>
        </row>
        <row r="62">
          <cell r="A62" t="str">
            <v>5.2.82</v>
          </cell>
          <cell r="B62" t="str">
            <v>ACA- ATN/RR-18757-RG - EDICION GENICA</v>
          </cell>
          <cell r="C62" t="str">
            <v>OTROS</v>
          </cell>
        </row>
        <row r="63">
          <cell r="A63" t="str">
            <v>5.2.83</v>
          </cell>
          <cell r="B63" t="str">
            <v>Contrato IAEA N° 25103</v>
          </cell>
          <cell r="C63" t="str">
            <v>OTROS</v>
          </cell>
        </row>
        <row r="64">
          <cell r="A64" t="str">
            <v>5.2.84</v>
          </cell>
          <cell r="B64" t="str">
            <v>C/A INTA-FA Cabana</v>
          </cell>
          <cell r="C64" t="str">
            <v>OTROS</v>
          </cell>
        </row>
        <row r="65">
          <cell r="A65" t="str">
            <v>5.2.85</v>
          </cell>
          <cell r="B65" t="str">
            <v>BUTANTAN</v>
          </cell>
          <cell r="C65" t="str">
            <v>OTROS</v>
          </cell>
        </row>
        <row r="66">
          <cell r="A66" t="str">
            <v>5.2.86</v>
          </cell>
          <cell r="B66" t="str">
            <v>Donación ERM Foundation</v>
          </cell>
          <cell r="C66" t="str">
            <v>OTROS</v>
          </cell>
        </row>
        <row r="67">
          <cell r="A67" t="str">
            <v>5.2.87</v>
          </cell>
          <cell r="B67" t="str">
            <v>H2020 - Se4All - GA N° 101007630</v>
          </cell>
          <cell r="C67" t="str">
            <v>EU-H2020</v>
          </cell>
        </row>
        <row r="68">
          <cell r="A68" t="str">
            <v>5.2.88</v>
          </cell>
          <cell r="B68" t="str">
            <v>H2020 - BeXyl - GA N° 10106059</v>
          </cell>
          <cell r="C68" t="str">
            <v>EU-H2020</v>
          </cell>
        </row>
        <row r="69">
          <cell r="A69" t="str">
            <v>5.2.89</v>
          </cell>
          <cell r="B69" t="str">
            <v>FTG- ATN/RF-18769-RG y ATN/RF-18770-RG.Secuestro de Carbono - Co Ejec INIA</v>
          </cell>
          <cell r="C69" t="str">
            <v>FONTAGRO</v>
          </cell>
        </row>
        <row r="70">
          <cell r="A70" t="str">
            <v>5.2.9</v>
          </cell>
          <cell r="B70" t="str">
            <v>Babet Real 5 Acta Acuerdo INTA-FA</v>
          </cell>
          <cell r="C70" t="str">
            <v>OTROS</v>
          </cell>
        </row>
        <row r="71">
          <cell r="A71" t="str">
            <v>5.2.90</v>
          </cell>
          <cell r="B71" t="str">
            <v>Consultoría CIAT - FA</v>
          </cell>
          <cell r="C71" t="str">
            <v>OTROS</v>
          </cell>
        </row>
        <row r="72">
          <cell r="A72" t="str">
            <v>5.2.91</v>
          </cell>
          <cell r="B72" t="str">
            <v>AECID - Resolución ELLAS+ Núm. 2022/SPE/0000400088</v>
          </cell>
          <cell r="C72" t="str">
            <v>AECID</v>
          </cell>
        </row>
        <row r="73">
          <cell r="A73" t="str">
            <v>5.2.92</v>
          </cell>
          <cell r="B73" t="str">
            <v>Consultoría - CEPAL (Proyecto Facility)</v>
          </cell>
          <cell r="C73" t="str">
            <v>OTROS</v>
          </cell>
        </row>
      </sheetData>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riz2020" displayName="Horiz2020" ref="C14:C20" totalsRowShown="0" headerRowBorderDxfId="22" tableBorderDxfId="21" totalsRowBorderDxfId="20">
  <tableColumns count="1">
    <tableColumn id="1" xr3:uid="{00000000-0010-0000-0000-000001000000}" name="Horiz2020"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cisur" displayName="Procisur" ref="C21:C28" totalsRowShown="0" headerRowBorderDxfId="18" tableBorderDxfId="17" totalsRowBorderDxfId="16">
  <tableColumns count="1">
    <tableColumn id="1" xr3:uid="{00000000-0010-0000-0100-000001000000}" name="Procisur"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 displayName="Otros" ref="C29:C34" totalsRowShown="0" headerRowBorderDxfId="14" tableBorderDxfId="13" totalsRowBorderDxfId="12">
  <autoFilter ref="C29:C34" xr:uid="{00000000-0009-0000-0100-000003000000}"/>
  <tableColumns count="1">
    <tableColumn id="1" xr3:uid="{00000000-0010-0000-0200-000001000000}" name="AECID" dataDxfId="11" totalsRow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Otros78" displayName="Otros78" ref="C35:C42" totalsRowShown="0" dataDxfId="8" headerRowBorderDxfId="9" tableBorderDxfId="7" totalsRowBorderDxfId="6">
  <autoFilter ref="C35:C42" xr:uid="{00000000-0009-0000-0100-000005000000}"/>
  <tableColumns count="1">
    <tableColumn id="1" xr3:uid="{00000000-0010-0000-0300-000001000000}" name="OTROS" dataDxfId="5" totalsRow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Fontagro5" displayName="Fontagro5" ref="C5:C13" totalsRowShown="0" headerRowBorderDxfId="3" tableBorderDxfId="2" totalsRowBorderDxfId="1">
  <tableColumns count="1">
    <tableColumn id="1" xr3:uid="{00000000-0010-0000-0400-000001000000}" name="Fontagro"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H47"/>
  <sheetViews>
    <sheetView tabSelected="1" zoomScaleNormal="100" workbookViewId="0">
      <selection activeCell="I11" sqref="I11"/>
    </sheetView>
  </sheetViews>
  <sheetFormatPr baseColWidth="10" defaultColWidth="10.7109375" defaultRowHeight="15"/>
  <cols>
    <col min="1" max="1" width="30.7109375" style="22" customWidth="1"/>
    <col min="2" max="2" width="25.28515625" style="22" customWidth="1"/>
    <col min="3" max="3" width="16.28515625" style="22" customWidth="1"/>
    <col min="4" max="4" width="21.7109375" style="57" customWidth="1"/>
    <col min="5" max="5" width="21.85546875" style="22" customWidth="1"/>
    <col min="6" max="6" width="19.7109375" style="22" customWidth="1"/>
    <col min="7" max="7" width="13.42578125" style="22" customWidth="1"/>
    <col min="8" max="8" width="13.28515625" style="22" customWidth="1"/>
    <col min="9" max="9" width="14.5703125" style="22" customWidth="1"/>
    <col min="10" max="10" width="13.42578125" style="22" customWidth="1"/>
    <col min="11" max="11" width="10.7109375" style="22"/>
    <col min="12" max="12" width="22.85546875" style="22" customWidth="1"/>
    <col min="13" max="16384" width="10.7109375" style="22"/>
  </cols>
  <sheetData>
    <row r="1" spans="1:12" ht="50.25" customHeight="1">
      <c r="A1" s="20"/>
      <c r="B1" s="20"/>
      <c r="C1" s="20"/>
      <c r="D1" s="21"/>
      <c r="E1" s="20"/>
      <c r="F1" s="20"/>
      <c r="G1" s="20"/>
      <c r="H1" s="20"/>
    </row>
    <row r="2" spans="1:12" ht="18.75" customHeight="1">
      <c r="A2" s="64" t="s">
        <v>216</v>
      </c>
      <c r="B2" s="65"/>
      <c r="C2" s="65"/>
      <c r="D2" s="65"/>
      <c r="E2" s="65"/>
      <c r="F2" s="66"/>
      <c r="G2" s="23"/>
      <c r="H2" s="23"/>
      <c r="I2" s="24"/>
      <c r="J2" s="25"/>
      <c r="K2" s="25"/>
      <c r="L2" s="25"/>
    </row>
    <row r="3" spans="1:12" ht="18.75" customHeight="1">
      <c r="A3" s="67"/>
      <c r="B3" s="68"/>
      <c r="C3" s="68"/>
      <c r="D3" s="68"/>
      <c r="E3" s="68"/>
      <c r="F3" s="69"/>
      <c r="G3" s="23"/>
      <c r="H3" s="23"/>
      <c r="I3" s="24"/>
      <c r="J3" s="25"/>
      <c r="K3" s="25"/>
      <c r="L3" s="25"/>
    </row>
    <row r="4" spans="1:12">
      <c r="A4" s="20"/>
      <c r="B4" s="20"/>
      <c r="C4" s="20"/>
      <c r="D4" s="21"/>
      <c r="E4" s="20"/>
      <c r="F4" s="20"/>
      <c r="G4" s="20"/>
      <c r="H4" s="20"/>
    </row>
    <row r="5" spans="1:12">
      <c r="A5" s="70" t="s">
        <v>181</v>
      </c>
      <c r="B5" s="70"/>
      <c r="C5" s="63"/>
      <c r="D5" s="63"/>
      <c r="E5" s="63"/>
      <c r="F5" s="63"/>
      <c r="G5" s="20"/>
      <c r="H5" s="20"/>
    </row>
    <row r="6" spans="1:12">
      <c r="A6" s="71" t="s">
        <v>192</v>
      </c>
      <c r="B6" s="72"/>
      <c r="C6" s="73" t="e">
        <f>+VLOOKUP($C$5,tabla,2,0)</f>
        <v>#N/A</v>
      </c>
      <c r="D6" s="74"/>
      <c r="E6" s="74" t="e">
        <f>+VLOOKUP(#REF!,'[1]Listado de proyectos'!$A$2:$C$73,2,0)</f>
        <v>#REF!</v>
      </c>
      <c r="F6" s="75"/>
      <c r="G6" s="20"/>
      <c r="H6" s="20"/>
    </row>
    <row r="7" spans="1:12">
      <c r="A7" s="62" t="s">
        <v>12</v>
      </c>
      <c r="B7" s="62"/>
      <c r="C7" s="63"/>
      <c r="D7" s="63"/>
      <c r="E7" s="63"/>
      <c r="F7" s="63"/>
      <c r="G7" s="20"/>
      <c r="H7" s="20"/>
    </row>
    <row r="8" spans="1:12">
      <c r="A8" s="70" t="s">
        <v>196</v>
      </c>
      <c r="B8" s="70"/>
      <c r="C8" s="63"/>
      <c r="D8" s="63"/>
      <c r="E8" s="63"/>
      <c r="F8" s="63"/>
      <c r="G8" s="20"/>
      <c r="H8" s="20"/>
    </row>
    <row r="9" spans="1:12">
      <c r="A9" s="62" t="s">
        <v>193</v>
      </c>
      <c r="B9" s="62"/>
      <c r="C9" s="63"/>
      <c r="D9" s="63"/>
      <c r="E9" s="63"/>
      <c r="F9" s="63"/>
      <c r="G9" s="26"/>
      <c r="H9" s="26"/>
    </row>
    <row r="10" spans="1:12">
      <c r="A10" s="62" t="s">
        <v>194</v>
      </c>
      <c r="B10" s="62"/>
      <c r="C10" s="76"/>
      <c r="D10" s="76"/>
      <c r="E10" s="76"/>
      <c r="F10" s="76"/>
      <c r="G10" s="26"/>
      <c r="H10" s="26"/>
    </row>
    <row r="11" spans="1:12">
      <c r="A11" s="62" t="s">
        <v>233</v>
      </c>
      <c r="B11" s="62"/>
      <c r="C11" s="63"/>
      <c r="D11" s="63"/>
      <c r="E11" s="63"/>
      <c r="F11" s="63"/>
      <c r="G11" s="26"/>
      <c r="H11" s="26"/>
    </row>
    <row r="12" spans="1:12">
      <c r="A12" s="20"/>
      <c r="B12" s="20"/>
      <c r="C12" s="20"/>
      <c r="D12" s="21"/>
      <c r="E12" s="20"/>
      <c r="F12" s="20"/>
      <c r="G12" s="20"/>
      <c r="H12" s="20"/>
    </row>
    <row r="13" spans="1:12" ht="30" customHeight="1">
      <c r="A13" s="27" t="s">
        <v>0</v>
      </c>
      <c r="B13" s="27" t="s">
        <v>1</v>
      </c>
      <c r="C13" s="27" t="s">
        <v>234</v>
      </c>
      <c r="D13" s="27" t="s">
        <v>189</v>
      </c>
      <c r="E13" s="27" t="s">
        <v>197</v>
      </c>
      <c r="G13" s="20"/>
      <c r="H13" s="20"/>
    </row>
    <row r="14" spans="1:12">
      <c r="A14" s="28"/>
      <c r="B14" s="28"/>
      <c r="C14" s="28"/>
      <c r="D14" s="29"/>
      <c r="E14" s="29"/>
      <c r="G14" s="20"/>
      <c r="H14" s="20"/>
    </row>
    <row r="15" spans="1:12">
      <c r="A15" s="28"/>
      <c r="B15" s="28"/>
      <c r="C15" s="28"/>
      <c r="D15" s="29"/>
      <c r="E15" s="29"/>
      <c r="G15" s="20"/>
      <c r="H15" s="20"/>
    </row>
    <row r="16" spans="1:12">
      <c r="A16" s="28"/>
      <c r="B16" s="28"/>
      <c r="C16" s="28"/>
      <c r="D16" s="29"/>
      <c r="E16" s="29"/>
      <c r="G16" s="20"/>
      <c r="H16" s="20"/>
    </row>
    <row r="17" spans="1:60">
      <c r="A17" s="28"/>
      <c r="B17" s="28"/>
      <c r="C17" s="28"/>
      <c r="D17" s="29"/>
      <c r="E17" s="29"/>
      <c r="G17" s="20"/>
      <c r="H17" s="20"/>
    </row>
    <row r="18" spans="1:60" s="31" customFormat="1" ht="15.75" thickBot="1">
      <c r="A18" s="88" t="s">
        <v>3</v>
      </c>
      <c r="B18" s="89"/>
      <c r="C18" s="90"/>
      <c r="D18" s="58">
        <f>SUM(D14:D17)</f>
        <v>0</v>
      </c>
      <c r="E18" s="58">
        <f>SUM(E14:E17)</f>
        <v>0</v>
      </c>
      <c r="F18" s="30"/>
      <c r="G18" s="20"/>
      <c r="H18" s="20"/>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row>
    <row r="19" spans="1:60">
      <c r="A19" s="20"/>
      <c r="B19" s="32"/>
      <c r="C19" s="32"/>
      <c r="D19" s="33"/>
      <c r="E19" s="33"/>
      <c r="G19" s="20"/>
      <c r="H19" s="20"/>
    </row>
    <row r="20" spans="1:60" ht="17.25">
      <c r="A20" s="79" t="s">
        <v>195</v>
      </c>
      <c r="B20" s="80"/>
      <c r="C20" s="80"/>
      <c r="D20" s="80"/>
      <c r="E20" s="81"/>
      <c r="G20" s="20"/>
      <c r="H20" s="20"/>
    </row>
    <row r="21" spans="1:60">
      <c r="A21" s="20"/>
      <c r="B21" s="20"/>
      <c r="C21" s="20"/>
      <c r="D21" s="21"/>
      <c r="E21" s="20"/>
      <c r="F21" s="20"/>
      <c r="G21" s="20"/>
      <c r="H21" s="20"/>
    </row>
    <row r="22" spans="1:60" ht="15" customHeight="1">
      <c r="A22" s="64" t="s">
        <v>8</v>
      </c>
      <c r="B22" s="65"/>
      <c r="C22" s="65"/>
      <c r="D22" s="65"/>
      <c r="E22" s="65"/>
      <c r="F22" s="66"/>
      <c r="G22" s="23"/>
      <c r="H22" s="23"/>
      <c r="I22" s="24"/>
      <c r="J22" s="24"/>
      <c r="K22" s="24"/>
    </row>
    <row r="23" spans="1:60" ht="15" customHeight="1">
      <c r="A23" s="67"/>
      <c r="B23" s="68"/>
      <c r="C23" s="68"/>
      <c r="D23" s="68"/>
      <c r="E23" s="68"/>
      <c r="F23" s="69"/>
      <c r="G23" s="23"/>
      <c r="H23" s="23"/>
      <c r="I23" s="24"/>
      <c r="J23" s="24"/>
      <c r="K23" s="24"/>
    </row>
    <row r="24" spans="1:60">
      <c r="A24" s="20"/>
      <c r="B24" s="20"/>
      <c r="C24" s="20"/>
      <c r="D24" s="21"/>
      <c r="E24" s="20"/>
      <c r="F24" s="20"/>
      <c r="G24" s="20"/>
      <c r="H24" s="20"/>
    </row>
    <row r="25" spans="1:60">
      <c r="A25" s="20"/>
      <c r="B25" s="20"/>
      <c r="C25" s="20"/>
      <c r="D25" s="21"/>
      <c r="E25" s="20"/>
      <c r="F25" s="20"/>
      <c r="G25" s="20"/>
      <c r="H25" s="20"/>
    </row>
    <row r="26" spans="1:60" ht="45">
      <c r="A26" s="34" t="s">
        <v>10</v>
      </c>
      <c r="B26" s="27" t="s">
        <v>1</v>
      </c>
      <c r="C26" s="27" t="s">
        <v>234</v>
      </c>
      <c r="D26" s="27" t="s">
        <v>189</v>
      </c>
      <c r="E26" s="27" t="s">
        <v>197</v>
      </c>
      <c r="F26" s="27" t="s">
        <v>198</v>
      </c>
      <c r="G26" s="35" t="s">
        <v>9</v>
      </c>
      <c r="H26" s="35" t="s">
        <v>11</v>
      </c>
    </row>
    <row r="27" spans="1:60">
      <c r="A27" s="28"/>
      <c r="B27" s="28"/>
      <c r="C27" s="28"/>
      <c r="D27" s="28"/>
      <c r="E27" s="29"/>
      <c r="F27" s="29"/>
      <c r="G27" s="36"/>
      <c r="H27" s="37"/>
      <c r="K27" s="38"/>
      <c r="M27" s="39"/>
    </row>
    <row r="28" spans="1:60">
      <c r="A28" s="28"/>
      <c r="B28" s="28"/>
      <c r="C28" s="28"/>
      <c r="D28" s="28"/>
      <c r="E28" s="29"/>
      <c r="F28" s="29"/>
      <c r="G28" s="36"/>
      <c r="H28" s="37"/>
    </row>
    <row r="29" spans="1:60">
      <c r="A29" s="28"/>
      <c r="B29" s="28"/>
      <c r="C29" s="28"/>
      <c r="D29" s="28"/>
      <c r="E29" s="29"/>
      <c r="F29" s="29"/>
      <c r="G29" s="36"/>
      <c r="H29" s="37"/>
    </row>
    <row r="30" spans="1:60">
      <c r="A30" s="28"/>
      <c r="B30" s="28"/>
      <c r="C30" s="28"/>
      <c r="D30" s="28"/>
      <c r="E30" s="29"/>
      <c r="F30" s="29"/>
      <c r="G30" s="36"/>
      <c r="H30" s="37"/>
    </row>
    <row r="31" spans="1:60">
      <c r="A31" s="28"/>
      <c r="B31" s="28"/>
      <c r="C31" s="28"/>
      <c r="D31" s="28"/>
      <c r="E31" s="29"/>
      <c r="F31" s="29"/>
      <c r="G31" s="36"/>
      <c r="H31" s="37"/>
    </row>
    <row r="32" spans="1:60">
      <c r="A32" s="28"/>
      <c r="B32" s="28"/>
      <c r="C32" s="28"/>
      <c r="D32" s="28"/>
      <c r="E32" s="29"/>
      <c r="F32" s="29"/>
      <c r="G32" s="36"/>
      <c r="H32" s="37"/>
    </row>
    <row r="33" spans="1:8">
      <c r="A33" s="20"/>
      <c r="B33" s="82" t="s">
        <v>4</v>
      </c>
      <c r="C33" s="83"/>
      <c r="D33" s="58">
        <f>SUM(D27:D32)</f>
        <v>0</v>
      </c>
      <c r="E33" s="58">
        <f>SUM(E27:E32)</f>
        <v>0</v>
      </c>
      <c r="F33" s="58">
        <f>SUM(F27:F32)</f>
        <v>0</v>
      </c>
      <c r="G33" s="40"/>
    </row>
    <row r="34" spans="1:8">
      <c r="A34" s="20"/>
      <c r="B34" s="82" t="s">
        <v>5</v>
      </c>
      <c r="C34" s="83"/>
      <c r="D34" s="58">
        <f>+D18</f>
        <v>0</v>
      </c>
      <c r="E34" s="58">
        <f>+E18</f>
        <v>0</v>
      </c>
      <c r="F34" s="33"/>
      <c r="G34" s="41"/>
      <c r="H34" s="41"/>
    </row>
    <row r="35" spans="1:8" ht="29.25" customHeight="1">
      <c r="A35" s="20"/>
      <c r="B35" s="84" t="s">
        <v>6</v>
      </c>
      <c r="C35" s="85"/>
      <c r="D35" s="58">
        <f>IF(D33-D34&gt;0,D33-D34,0)</f>
        <v>0</v>
      </c>
      <c r="E35" s="58">
        <f>IF(E33-E34&gt;0,E33-E34,0)</f>
        <v>0</v>
      </c>
      <c r="F35" s="33"/>
      <c r="G35" s="42"/>
      <c r="H35" s="42"/>
    </row>
    <row r="36" spans="1:8" ht="32.25" customHeight="1">
      <c r="A36" s="20"/>
      <c r="B36" s="84" t="s">
        <v>7</v>
      </c>
      <c r="C36" s="85"/>
      <c r="D36" s="58">
        <f>IF(D34-D33&gt;0,D34-D33,0)</f>
        <v>0</v>
      </c>
      <c r="E36" s="58">
        <f>IF(E34-E33&gt;0,E34-E33,0)</f>
        <v>0</v>
      </c>
      <c r="F36" s="33"/>
      <c r="G36" s="43"/>
      <c r="H36" s="26"/>
    </row>
    <row r="37" spans="1:8">
      <c r="B37" s="20"/>
      <c r="C37" s="20"/>
      <c r="D37" s="21"/>
      <c r="E37" s="20"/>
      <c r="F37" s="20"/>
      <c r="G37" s="20"/>
      <c r="H37" s="20"/>
    </row>
    <row r="38" spans="1:8">
      <c r="A38" s="20"/>
      <c r="B38" s="20"/>
      <c r="C38" s="20"/>
      <c r="D38" s="21"/>
      <c r="E38" s="20"/>
      <c r="F38" s="20"/>
      <c r="G38" s="20"/>
      <c r="H38" s="20"/>
    </row>
    <row r="39" spans="1:8" ht="30">
      <c r="A39" s="20"/>
      <c r="B39" s="86" t="s">
        <v>182</v>
      </c>
      <c r="C39" s="86"/>
      <c r="D39" s="44" t="s">
        <v>200</v>
      </c>
      <c r="E39" s="44" t="s">
        <v>205</v>
      </c>
      <c r="F39" s="20"/>
      <c r="G39" s="20"/>
      <c r="H39" s="20"/>
    </row>
    <row r="40" spans="1:8">
      <c r="A40" s="20"/>
      <c r="B40" s="45" t="s">
        <v>183</v>
      </c>
      <c r="C40" s="45" t="s">
        <v>184</v>
      </c>
      <c r="D40" s="46" t="s">
        <v>201</v>
      </c>
      <c r="E40" s="46" t="s">
        <v>201</v>
      </c>
      <c r="F40" s="20"/>
      <c r="G40" s="20"/>
      <c r="H40" s="20"/>
    </row>
    <row r="41" spans="1:8">
      <c r="A41" s="20"/>
      <c r="B41" s="47"/>
      <c r="C41" s="48"/>
      <c r="D41" s="49"/>
      <c r="E41" s="49"/>
      <c r="F41" s="20"/>
      <c r="G41" s="20"/>
      <c r="H41" s="20"/>
    </row>
    <row r="42" spans="1:8">
      <c r="A42" s="20"/>
      <c r="B42" s="50" t="s">
        <v>185</v>
      </c>
      <c r="C42" s="51" t="s">
        <v>190</v>
      </c>
      <c r="D42" s="46" t="s">
        <v>204</v>
      </c>
      <c r="E42" s="46" t="s">
        <v>204</v>
      </c>
      <c r="F42" s="20"/>
      <c r="G42" s="20"/>
      <c r="H42" s="20"/>
    </row>
    <row r="43" spans="1:8">
      <c r="A43" s="20"/>
      <c r="B43" s="52"/>
      <c r="C43" s="52"/>
      <c r="D43" s="60"/>
      <c r="E43" s="53"/>
      <c r="F43" s="20"/>
      <c r="G43" s="20"/>
      <c r="H43" s="20"/>
    </row>
    <row r="44" spans="1:8">
      <c r="A44" s="20"/>
      <c r="B44" s="50" t="s">
        <v>186</v>
      </c>
      <c r="C44" s="51" t="s">
        <v>187</v>
      </c>
      <c r="D44" s="46" t="s">
        <v>202</v>
      </c>
      <c r="E44" s="46" t="s">
        <v>202</v>
      </c>
      <c r="F44" s="20"/>
      <c r="G44" s="20"/>
      <c r="H44" s="20"/>
    </row>
    <row r="45" spans="1:8">
      <c r="A45" s="20"/>
      <c r="B45" s="54"/>
      <c r="C45" s="54"/>
      <c r="D45" s="59">
        <f>+D41*D43</f>
        <v>0</v>
      </c>
      <c r="E45" s="59">
        <f>+E41*E43</f>
        <v>0</v>
      </c>
      <c r="F45" s="20"/>
      <c r="G45" s="20"/>
      <c r="H45" s="20"/>
    </row>
    <row r="46" spans="1:8">
      <c r="A46" s="20"/>
      <c r="B46" s="87" t="s">
        <v>188</v>
      </c>
      <c r="C46" s="87"/>
      <c r="D46" s="55"/>
      <c r="E46" s="46" t="s">
        <v>203</v>
      </c>
      <c r="F46" s="20"/>
      <c r="G46" s="20"/>
      <c r="H46" s="20"/>
    </row>
    <row r="47" spans="1:8">
      <c r="A47" s="20"/>
      <c r="B47" s="77"/>
      <c r="C47" s="78"/>
      <c r="D47" s="56"/>
      <c r="E47" s="46"/>
      <c r="F47" s="20"/>
      <c r="G47" s="20"/>
      <c r="H47" s="20"/>
    </row>
  </sheetData>
  <sheetProtection insertRows="0"/>
  <mergeCells count="25">
    <mergeCell ref="B47:C47"/>
    <mergeCell ref="A11:B11"/>
    <mergeCell ref="C11:F11"/>
    <mergeCell ref="A20:E20"/>
    <mergeCell ref="A22:F23"/>
    <mergeCell ref="B33:C33"/>
    <mergeCell ref="B34:C34"/>
    <mergeCell ref="B35:C35"/>
    <mergeCell ref="B36:C36"/>
    <mergeCell ref="B39:C39"/>
    <mergeCell ref="B46:C46"/>
    <mergeCell ref="A18:C18"/>
    <mergeCell ref="A8:B8"/>
    <mergeCell ref="C8:F8"/>
    <mergeCell ref="A9:B9"/>
    <mergeCell ref="C9:F9"/>
    <mergeCell ref="A10:B10"/>
    <mergeCell ref="C10:F10"/>
    <mergeCell ref="A7:B7"/>
    <mergeCell ref="C7:F7"/>
    <mergeCell ref="A2:F3"/>
    <mergeCell ref="A5:B5"/>
    <mergeCell ref="A6:B6"/>
    <mergeCell ref="C6:F6"/>
    <mergeCell ref="C5:F5"/>
  </mergeCells>
  <dataValidations count="1">
    <dataValidation type="list" allowBlank="1" showInputMessage="1" showErrorMessage="1" sqref="C5:F5" xr:uid="{00000000-0002-0000-0000-000000000000}">
      <formula1>comp</formula1>
    </dataValidation>
  </dataValidations>
  <pageMargins left="0.7" right="0.7" top="0.75" bottom="0.75" header="0.3" footer="0.3"/>
  <pageSetup scale="75" orientation="landscape" r:id="rId1"/>
  <rowBreaks count="1" manualBreakCount="1">
    <brk id="21" max="7" man="1"/>
  </rowBreaks>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1000000}">
          <x14:formula1>
            <xm:f>Tablas!$E$15:$E$16</xm:f>
          </x14:formula1>
          <xm:sqref>E47</xm:sqref>
        </x14:dataValidation>
        <x14:dataValidation type="list" allowBlank="1" showInputMessage="1" showErrorMessage="1" xr:uid="{00000000-0002-0000-0000-000002000000}">
          <x14:formula1>
            <xm:f>Tablas!$A$5:$A$31</xm:f>
          </x14:formula1>
          <xm:sqref>C14:C17 C27:C32</xm:sqref>
        </x14:dataValidation>
        <x14:dataValidation type="list" allowBlank="1" showInputMessage="1" showErrorMessage="1" xr:uid="{00000000-0002-0000-0000-000003000000}">
          <x14:formula1>
            <xm:f>Tablas!$C$5:$C$42</xm:f>
          </x14:formula1>
          <xm:sqref>B14:B17 B27:B32</xm:sqref>
        </x14:dataValidation>
        <x14:dataValidation type="list" allowBlank="1" showInputMessage="1" showErrorMessage="1" xr:uid="{00000000-0002-0000-0000-000004000000}">
          <x14:formula1>
            <xm:f>Tablas!$E$9:$E$13</xm:f>
          </x14:formula1>
          <xm:sqref>B47:C47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1"/>
  <sheetViews>
    <sheetView topLeftCell="A108" workbookViewId="0">
      <selection activeCell="A128" sqref="A128:B141"/>
    </sheetView>
  </sheetViews>
  <sheetFormatPr baseColWidth="10" defaultRowHeight="15"/>
  <cols>
    <col min="1" max="1" width="15.28515625" customWidth="1"/>
    <col min="2" max="2" width="62.7109375" customWidth="1"/>
    <col min="3" max="3" width="14.42578125" customWidth="1"/>
    <col min="4" max="6" width="23" customWidth="1"/>
  </cols>
  <sheetData>
    <row r="1" spans="1:6">
      <c r="A1" s="15" t="s">
        <v>13</v>
      </c>
      <c r="B1" s="15" t="s">
        <v>14</v>
      </c>
      <c r="C1" s="15" t="s">
        <v>15</v>
      </c>
      <c r="D1" s="15" t="s">
        <v>191</v>
      </c>
      <c r="E1" s="15" t="s">
        <v>402</v>
      </c>
      <c r="F1" s="15" t="s">
        <v>404</v>
      </c>
    </row>
    <row r="2" spans="1:6">
      <c r="A2" s="14" t="s">
        <v>16</v>
      </c>
      <c r="B2" s="14" t="s">
        <v>17</v>
      </c>
      <c r="C2" s="14" t="s">
        <v>18</v>
      </c>
      <c r="D2" s="14"/>
      <c r="E2" s="61" t="str">
        <f>CONCATENATE(A2," - ",B2)</f>
        <v>5.2.14 - USDA</v>
      </c>
      <c r="F2" s="61" t="str">
        <f>+C2</f>
        <v>OTROS</v>
      </c>
    </row>
    <row r="3" spans="1:6">
      <c r="A3" s="14" t="s">
        <v>19</v>
      </c>
      <c r="B3" s="14" t="s">
        <v>20</v>
      </c>
      <c r="C3" s="14" t="s">
        <v>18</v>
      </c>
      <c r="D3" s="4"/>
      <c r="E3" s="61" t="str">
        <f t="shared" ref="E3:E66" si="0">CONCATENATE(A3," - ",B3)</f>
        <v>5.2.15 - PIRBRIGHT</v>
      </c>
      <c r="F3" s="61" t="str">
        <f t="shared" ref="F3:F66" si="1">+C3</f>
        <v>OTROS</v>
      </c>
    </row>
    <row r="4" spans="1:6">
      <c r="A4" s="14" t="s">
        <v>22</v>
      </c>
      <c r="B4" s="14" t="s">
        <v>23</v>
      </c>
      <c r="C4" s="14" t="s">
        <v>18</v>
      </c>
      <c r="D4" s="4"/>
      <c r="E4" s="61" t="str">
        <f t="shared" si="0"/>
        <v>5.2.19 - JIRCAS</v>
      </c>
      <c r="F4" s="61" t="str">
        <f t="shared" si="1"/>
        <v>OTROS</v>
      </c>
    </row>
    <row r="5" spans="1:6">
      <c r="A5" s="14" t="s">
        <v>24</v>
      </c>
      <c r="B5" s="14" t="s">
        <v>25</v>
      </c>
      <c r="C5" s="14" t="s">
        <v>18</v>
      </c>
      <c r="D5" s="4"/>
      <c r="E5" s="61" t="str">
        <f t="shared" si="0"/>
        <v>5.2.21 - GIZ-SPIPA</v>
      </c>
      <c r="F5" s="61" t="str">
        <f t="shared" si="1"/>
        <v>OTROS</v>
      </c>
    </row>
    <row r="6" spans="1:6">
      <c r="A6" s="14" t="s">
        <v>26</v>
      </c>
      <c r="B6" s="14" t="s">
        <v>27</v>
      </c>
      <c r="C6" s="14" t="s">
        <v>28</v>
      </c>
      <c r="D6" s="4"/>
      <c r="E6" s="61" t="str">
        <f t="shared" si="0"/>
        <v>5.2.22 - H2020 - GA Nº 823967 – ProCEedS</v>
      </c>
      <c r="F6" s="61" t="str">
        <f t="shared" si="1"/>
        <v>EU-H2020</v>
      </c>
    </row>
    <row r="7" spans="1:6">
      <c r="A7" s="14" t="s">
        <v>333</v>
      </c>
      <c r="B7" s="19" t="s">
        <v>334</v>
      </c>
      <c r="C7" s="14" t="s">
        <v>18</v>
      </c>
      <c r="D7" s="4"/>
      <c r="E7" s="61" t="str">
        <f t="shared" si="0"/>
        <v>5.2.27 - Contrato de investigación Nº 23402  INTA – IAEA</v>
      </c>
      <c r="F7" s="61" t="str">
        <f t="shared" si="1"/>
        <v>OTROS</v>
      </c>
    </row>
    <row r="8" spans="1:6">
      <c r="A8" s="14" t="s">
        <v>245</v>
      </c>
      <c r="B8" s="14" t="s">
        <v>29</v>
      </c>
      <c r="C8" s="14" t="s">
        <v>21</v>
      </c>
      <c r="D8" s="4"/>
      <c r="E8" s="61" t="str">
        <f t="shared" si="0"/>
        <v>5.2.29 - FTG-ATN/RF-16926-RG - Leguminosas</v>
      </c>
      <c r="F8" s="61" t="str">
        <f t="shared" si="1"/>
        <v>FONTAGRO</v>
      </c>
    </row>
    <row r="9" spans="1:6">
      <c r="A9" s="14" t="s">
        <v>246</v>
      </c>
      <c r="B9" s="14" t="s">
        <v>30</v>
      </c>
      <c r="C9" s="14" t="s">
        <v>21</v>
      </c>
      <c r="D9" s="4"/>
      <c r="E9" s="61" t="str">
        <f t="shared" si="0"/>
        <v>5.2.30 - FTG-ATN/RF-17232-RG- HLB</v>
      </c>
      <c r="F9" s="61" t="str">
        <f t="shared" si="1"/>
        <v>FONTAGRO</v>
      </c>
    </row>
    <row r="10" spans="1:6">
      <c r="A10" s="14" t="s">
        <v>247</v>
      </c>
      <c r="B10" s="14" t="s">
        <v>31</v>
      </c>
      <c r="C10" s="14" t="s">
        <v>18</v>
      </c>
      <c r="D10" s="4"/>
      <c r="E10" s="61" t="str">
        <f t="shared" si="0"/>
        <v xml:space="preserve">5.2.31 - IVVN    International Veterinary Vaccinology Network </v>
      </c>
      <c r="F10" s="61" t="str">
        <f t="shared" si="1"/>
        <v>OTROS</v>
      </c>
    </row>
    <row r="11" spans="1:6">
      <c r="A11" s="14" t="s">
        <v>32</v>
      </c>
      <c r="B11" s="14" t="s">
        <v>33</v>
      </c>
      <c r="C11" s="14" t="s">
        <v>18</v>
      </c>
      <c r="D11" s="4"/>
      <c r="E11" s="61" t="str">
        <f t="shared" si="0"/>
        <v xml:space="preserve">5.2.33 - BAYER Grants4Biologicals – Appl. Nº 033 </v>
      </c>
      <c r="F11" s="61" t="str">
        <f t="shared" si="1"/>
        <v>OTROS</v>
      </c>
    </row>
    <row r="12" spans="1:6">
      <c r="A12" s="14" t="s">
        <v>248</v>
      </c>
      <c r="B12" s="14" t="s">
        <v>34</v>
      </c>
      <c r="C12" s="14" t="s">
        <v>28</v>
      </c>
      <c r="D12" s="4"/>
      <c r="E12" s="61" t="str">
        <f t="shared" si="0"/>
        <v>5.2.34 - H2020 GA Nº 862849 FERTIMANURE</v>
      </c>
      <c r="F12" s="61" t="str">
        <f t="shared" si="1"/>
        <v>EU-H2020</v>
      </c>
    </row>
    <row r="13" spans="1:6">
      <c r="A13" s="14" t="s">
        <v>249</v>
      </c>
      <c r="B13" s="14" t="s">
        <v>35</v>
      </c>
      <c r="C13" s="14" t="s">
        <v>28</v>
      </c>
      <c r="D13" s="4"/>
      <c r="E13" s="61" t="str">
        <f t="shared" si="0"/>
        <v xml:space="preserve">5.2.35 - H2020 - GA Nº 857804 – DIBICOO </v>
      </c>
      <c r="F13" s="61" t="str">
        <f t="shared" si="1"/>
        <v>EU-H2020</v>
      </c>
    </row>
    <row r="14" spans="1:6">
      <c r="A14" s="14" t="s">
        <v>250</v>
      </c>
      <c r="B14" s="14" t="s">
        <v>36</v>
      </c>
      <c r="C14" s="14" t="s">
        <v>18</v>
      </c>
      <c r="D14" s="4"/>
      <c r="E14" s="61" t="str">
        <f t="shared" si="0"/>
        <v>5.2.36 - UNIVERSIDAD DE GEORGIA</v>
      </c>
      <c r="F14" s="61" t="str">
        <f t="shared" si="1"/>
        <v>OTROS</v>
      </c>
    </row>
    <row r="15" spans="1:6">
      <c r="A15" s="14" t="s">
        <v>251</v>
      </c>
      <c r="B15" s="14" t="s">
        <v>37</v>
      </c>
      <c r="C15" s="14" t="s">
        <v>38</v>
      </c>
      <c r="D15" s="4"/>
      <c r="E15" s="61" t="str">
        <f t="shared" si="0"/>
        <v>5.2.38 - PROCISUR- HLB</v>
      </c>
      <c r="F15" s="61" t="str">
        <f t="shared" si="1"/>
        <v>PROCISUR</v>
      </c>
    </row>
    <row r="16" spans="1:6">
      <c r="A16" s="14" t="s">
        <v>252</v>
      </c>
      <c r="B16" s="14" t="s">
        <v>39</v>
      </c>
      <c r="C16" s="14" t="s">
        <v>18</v>
      </c>
      <c r="D16" s="4"/>
      <c r="E16" s="61" t="str">
        <f t="shared" si="0"/>
        <v>5.2.39 - INIA - INTA - FA (REDD+) “ Emisión y Remoción de GEI”</v>
      </c>
      <c r="F16" s="61" t="str">
        <f t="shared" si="1"/>
        <v>OTROS</v>
      </c>
    </row>
    <row r="17" spans="1:6">
      <c r="A17" s="14" t="s">
        <v>40</v>
      </c>
      <c r="B17" s="14" t="s">
        <v>41</v>
      </c>
      <c r="C17" s="14" t="s">
        <v>18</v>
      </c>
      <c r="D17" s="4"/>
      <c r="E17" s="61" t="str">
        <f t="shared" si="0"/>
        <v>5.2.42 - Acuerdo de Transferencia INTA - VETAL</v>
      </c>
      <c r="F17" s="61" t="str">
        <f t="shared" si="1"/>
        <v>OTROS</v>
      </c>
    </row>
    <row r="18" spans="1:6">
      <c r="A18" s="14" t="s">
        <v>253</v>
      </c>
      <c r="B18" s="14" t="s">
        <v>42</v>
      </c>
      <c r="C18" s="14" t="s">
        <v>18</v>
      </c>
      <c r="D18" s="4"/>
      <c r="E18" s="61" t="str">
        <f t="shared" si="0"/>
        <v>5.2.43 - Curso Virtual IUIS-VIC</v>
      </c>
      <c r="F18" s="61" t="str">
        <f t="shared" si="1"/>
        <v>OTROS</v>
      </c>
    </row>
    <row r="19" spans="1:6">
      <c r="A19" s="14" t="s">
        <v>254</v>
      </c>
      <c r="B19" s="14" t="s">
        <v>43</v>
      </c>
      <c r="C19" s="14" t="s">
        <v>21</v>
      </c>
      <c r="D19" s="4"/>
      <c r="E19" s="61" t="str">
        <f t="shared" si="0"/>
        <v>5.2.44 - FTG- ATN/RF-17245-RG(RG-T3387) - Regante</v>
      </c>
      <c r="F19" s="61" t="str">
        <f t="shared" si="1"/>
        <v>FONTAGRO</v>
      </c>
    </row>
    <row r="20" spans="1:6">
      <c r="A20" s="14" t="s">
        <v>44</v>
      </c>
      <c r="B20" s="14" t="s">
        <v>45</v>
      </c>
      <c r="C20" s="14" t="s">
        <v>18</v>
      </c>
      <c r="D20" s="4"/>
      <c r="E20" s="61" t="str">
        <f t="shared" si="0"/>
        <v>5.2.45 - Carta Acuerdo N° 3/2020 - INIDEP CTMFM</v>
      </c>
      <c r="F20" s="61" t="str">
        <f t="shared" si="1"/>
        <v>OTROS</v>
      </c>
    </row>
    <row r="21" spans="1:6">
      <c r="A21" s="14" t="s">
        <v>46</v>
      </c>
      <c r="B21" s="14" t="s">
        <v>47</v>
      </c>
      <c r="C21" s="14" t="s">
        <v>38</v>
      </c>
      <c r="D21" s="4"/>
      <c r="E21" s="61" t="str">
        <f t="shared" si="0"/>
        <v>5.2.47 - PROCISUR-Leguminosas-FTG</v>
      </c>
      <c r="F21" s="61" t="str">
        <f t="shared" si="1"/>
        <v>PROCISUR</v>
      </c>
    </row>
    <row r="22" spans="1:6">
      <c r="A22" s="14" t="s">
        <v>255</v>
      </c>
      <c r="B22" s="14" t="s">
        <v>48</v>
      </c>
      <c r="C22" s="14" t="s">
        <v>18</v>
      </c>
      <c r="D22" s="4"/>
      <c r="E22" s="61" t="str">
        <f t="shared" si="0"/>
        <v>5.2.48 - Universidad de Georgia (UGA) - Carbón de maní</v>
      </c>
      <c r="F22" s="61" t="str">
        <f t="shared" si="1"/>
        <v>OTROS</v>
      </c>
    </row>
    <row r="23" spans="1:6">
      <c r="A23" s="14" t="s">
        <v>49</v>
      </c>
      <c r="B23" s="14" t="s">
        <v>50</v>
      </c>
      <c r="C23" s="14" t="s">
        <v>18</v>
      </c>
      <c r="D23" s="4"/>
      <c r="E23" s="61" t="str">
        <f t="shared" si="0"/>
        <v>5.2.50 - Orden de trabajo – ERM Argentina S.A.</v>
      </c>
      <c r="F23" s="61" t="str">
        <f t="shared" si="1"/>
        <v>OTROS</v>
      </c>
    </row>
    <row r="24" spans="1:6">
      <c r="A24" s="14" t="s">
        <v>256</v>
      </c>
      <c r="B24" s="14" t="s">
        <v>51</v>
      </c>
      <c r="C24" s="14" t="s">
        <v>28</v>
      </c>
      <c r="D24" s="4"/>
      <c r="E24" s="61" t="str">
        <f t="shared" si="0"/>
        <v>5.2.53 - H2020 Phy2Climate - GA N° 101006912</v>
      </c>
      <c r="F24" s="61" t="str">
        <f t="shared" si="1"/>
        <v>EU-H2020</v>
      </c>
    </row>
    <row r="25" spans="1:6">
      <c r="A25" s="14" t="s">
        <v>257</v>
      </c>
      <c r="B25" s="14" t="s">
        <v>52</v>
      </c>
      <c r="C25" s="14" t="s">
        <v>21</v>
      </c>
      <c r="D25" s="4"/>
      <c r="E25" s="61" t="str">
        <f t="shared" si="0"/>
        <v>5.2.55 - FTG. ATN/RF-18136-RG (RG-T3584)-Coccidiosis Aviar</v>
      </c>
      <c r="F25" s="61" t="str">
        <f t="shared" si="1"/>
        <v>FONTAGRO</v>
      </c>
    </row>
    <row r="26" spans="1:6">
      <c r="A26" s="14" t="s">
        <v>258</v>
      </c>
      <c r="B26" s="14" t="s">
        <v>53</v>
      </c>
      <c r="C26" s="14" t="s">
        <v>21</v>
      </c>
      <c r="D26" s="4"/>
      <c r="E26" s="61" t="str">
        <f t="shared" si="0"/>
        <v>5.2.56 - FTG- ATN/RF-17950-RG -Eficiencia del Uso del Agua- Co ejec DGI</v>
      </c>
      <c r="F26" s="61" t="str">
        <f t="shared" si="1"/>
        <v>FONTAGRO</v>
      </c>
    </row>
    <row r="27" spans="1:6">
      <c r="A27" s="14" t="s">
        <v>259</v>
      </c>
      <c r="B27" s="14" t="s">
        <v>54</v>
      </c>
      <c r="C27" s="14" t="s">
        <v>21</v>
      </c>
      <c r="D27" s="4"/>
      <c r="E27" s="61" t="str">
        <f t="shared" si="0"/>
        <v>5.2.57 - FTG-ATN/RF-18078-RG (RG-T3587)- AGTECH LECHERIA INTELIGENTE</v>
      </c>
      <c r="F27" s="61" t="str">
        <f t="shared" si="1"/>
        <v>FONTAGRO</v>
      </c>
    </row>
    <row r="28" spans="1:6">
      <c r="A28" s="14" t="s">
        <v>260</v>
      </c>
      <c r="B28" s="14" t="s">
        <v>55</v>
      </c>
      <c r="C28" s="14" t="s">
        <v>21</v>
      </c>
      <c r="D28" s="4"/>
      <c r="E28" s="61" t="str">
        <f t="shared" si="0"/>
        <v>5.2.58 - FTG- ATN/RF-17950-RG -Eficiencia del Uso del Agua- Co ejec INTA</v>
      </c>
      <c r="F28" s="61" t="str">
        <f t="shared" si="1"/>
        <v>FONTAGRO</v>
      </c>
    </row>
    <row r="29" spans="1:6">
      <c r="A29" s="14" t="s">
        <v>261</v>
      </c>
      <c r="B29" s="14" t="s">
        <v>56</v>
      </c>
      <c r="C29" s="14" t="s">
        <v>21</v>
      </c>
      <c r="D29" s="4"/>
      <c r="E29" s="61" t="str">
        <f t="shared" si="0"/>
        <v>5.2.59 - FTG-ATN/RF-18077-RG- Gestión del Pasto- Co ejec INTA</v>
      </c>
      <c r="F29" s="61" t="str">
        <f t="shared" si="1"/>
        <v>FONTAGRO</v>
      </c>
    </row>
    <row r="30" spans="1:6">
      <c r="A30" s="14" t="s">
        <v>262</v>
      </c>
      <c r="B30" s="14" t="s">
        <v>57</v>
      </c>
      <c r="C30" s="14" t="s">
        <v>21</v>
      </c>
      <c r="D30" s="4"/>
      <c r="E30" s="61" t="str">
        <f t="shared" si="0"/>
        <v>5.2.61 - FTG-ATN/RF-18079-RG (RG-T3585)- Productividad Bovina</v>
      </c>
      <c r="F30" s="61" t="str">
        <f t="shared" si="1"/>
        <v>FONTAGRO</v>
      </c>
    </row>
    <row r="31" spans="1:6">
      <c r="A31" s="14" t="s">
        <v>263</v>
      </c>
      <c r="B31" s="14" t="s">
        <v>58</v>
      </c>
      <c r="C31" s="14" t="s">
        <v>28</v>
      </c>
      <c r="D31" s="4"/>
      <c r="E31" s="61" t="str">
        <f t="shared" si="0"/>
        <v>5.2.62 - H2020 - SOILGUARD - GA N° 101000371</v>
      </c>
      <c r="F31" s="61" t="str">
        <f t="shared" si="1"/>
        <v>EU-H2020</v>
      </c>
    </row>
    <row r="32" spans="1:6">
      <c r="A32" s="14" t="s">
        <v>264</v>
      </c>
      <c r="B32" s="14" t="s">
        <v>59</v>
      </c>
      <c r="C32" s="14" t="s">
        <v>18</v>
      </c>
      <c r="D32" s="4"/>
      <c r="E32" s="61" t="str">
        <f t="shared" si="0"/>
        <v xml:space="preserve">5.2.63 - Carta Acuerdo INTA-FA DIBICOO  </v>
      </c>
      <c r="F32" s="61" t="str">
        <f t="shared" si="1"/>
        <v>OTROS</v>
      </c>
    </row>
    <row r="33" spans="1:6">
      <c r="A33" s="14" t="s">
        <v>265</v>
      </c>
      <c r="B33" s="14" t="s">
        <v>60</v>
      </c>
      <c r="C33" s="14" t="s">
        <v>18</v>
      </c>
      <c r="D33" s="4"/>
      <c r="E33" s="61" t="str">
        <f t="shared" si="0"/>
        <v>5.2.64 - Carta Acuerdo INTA - FA - INIA REDD +  “ Emisión y Remoción de GEI”</v>
      </c>
      <c r="F33" s="61" t="str">
        <f t="shared" si="1"/>
        <v>OTROS</v>
      </c>
    </row>
    <row r="34" spans="1:6">
      <c r="A34" s="14" t="s">
        <v>335</v>
      </c>
      <c r="B34" s="14" t="s">
        <v>342</v>
      </c>
      <c r="C34" s="14" t="s">
        <v>21</v>
      </c>
      <c r="D34" s="4"/>
      <c r="E34" s="61" t="str">
        <f t="shared" si="0"/>
        <v>5.2.65 - FTG - Leguminosas MPI NZ</v>
      </c>
      <c r="F34" s="61" t="str">
        <f t="shared" si="1"/>
        <v>FONTAGRO</v>
      </c>
    </row>
    <row r="35" spans="1:6">
      <c r="A35" s="14" t="s">
        <v>61</v>
      </c>
      <c r="B35" s="14" t="s">
        <v>62</v>
      </c>
      <c r="C35" s="14" t="s">
        <v>18</v>
      </c>
      <c r="D35" s="4"/>
      <c r="E35" s="61" t="str">
        <f t="shared" si="0"/>
        <v xml:space="preserve">5.2.66 - Universidad de Liverpool </v>
      </c>
      <c r="F35" s="61" t="str">
        <f t="shared" si="1"/>
        <v>OTROS</v>
      </c>
    </row>
    <row r="36" spans="1:6">
      <c r="A36" s="14" t="s">
        <v>63</v>
      </c>
      <c r="B36" s="14" t="s">
        <v>64</v>
      </c>
      <c r="C36" s="14" t="s">
        <v>18</v>
      </c>
      <c r="D36" s="4"/>
      <c r="E36" s="61" t="str">
        <f t="shared" si="0"/>
        <v>5.2.67 - BAYER - Grants4 Ag Initiative</v>
      </c>
      <c r="F36" s="61" t="str">
        <f t="shared" si="1"/>
        <v>OTROS</v>
      </c>
    </row>
    <row r="37" spans="1:6">
      <c r="A37" s="14" t="s">
        <v>266</v>
      </c>
      <c r="B37" s="14" t="s">
        <v>65</v>
      </c>
      <c r="C37" s="14" t="s">
        <v>21</v>
      </c>
      <c r="D37" s="4"/>
      <c r="E37" s="61" t="str">
        <f t="shared" si="0"/>
        <v>5.2.68 - FTG-ATN/RF-18105-RG-Arroz  Productivo</v>
      </c>
      <c r="F37" s="61" t="str">
        <f t="shared" si="1"/>
        <v>FONTAGRO</v>
      </c>
    </row>
    <row r="38" spans="1:6">
      <c r="A38" s="14" t="s">
        <v>267</v>
      </c>
      <c r="B38" s="14" t="s">
        <v>66</v>
      </c>
      <c r="C38" s="14" t="s">
        <v>18</v>
      </c>
      <c r="D38" s="4"/>
      <c r="E38" s="61" t="str">
        <f t="shared" si="0"/>
        <v xml:space="preserve">5.2.69 - STE N°2855-DSM </v>
      </c>
      <c r="F38" s="61" t="str">
        <f t="shared" si="1"/>
        <v>OTROS</v>
      </c>
    </row>
    <row r="39" spans="1:6">
      <c r="A39" s="14" t="s">
        <v>67</v>
      </c>
      <c r="B39" s="14" t="s">
        <v>68</v>
      </c>
      <c r="C39" s="14" t="s">
        <v>18</v>
      </c>
      <c r="D39" s="4"/>
      <c r="E39" s="61" t="str">
        <f t="shared" si="0"/>
        <v>5.2.70 - Contrato IAEA N° 20709</v>
      </c>
      <c r="F39" s="61" t="str">
        <f t="shared" si="1"/>
        <v>OTROS</v>
      </c>
    </row>
    <row r="40" spans="1:6">
      <c r="A40" s="14" t="s">
        <v>268</v>
      </c>
      <c r="B40" s="14" t="s">
        <v>69</v>
      </c>
      <c r="C40" s="14" t="s">
        <v>18</v>
      </c>
      <c r="D40" s="4"/>
      <c r="E40" s="61" t="str">
        <f t="shared" si="0"/>
        <v xml:space="preserve">5.2.71 - Carta Acuerdo INTA -FAO ( TCP/RLA/3805) </v>
      </c>
      <c r="F40" s="61" t="str">
        <f t="shared" si="1"/>
        <v>OTROS</v>
      </c>
    </row>
    <row r="41" spans="1:6">
      <c r="A41" s="14" t="s">
        <v>269</v>
      </c>
      <c r="B41" s="14" t="s">
        <v>70</v>
      </c>
      <c r="C41" s="14" t="s">
        <v>38</v>
      </c>
      <c r="D41" s="4"/>
      <c r="E41" s="61" t="str">
        <f t="shared" si="0"/>
        <v xml:space="preserve">5.2.72 - PROCISUR – EDICIÓN GÉNICA </v>
      </c>
      <c r="F41" s="61" t="str">
        <f t="shared" si="1"/>
        <v>PROCISUR</v>
      </c>
    </row>
    <row r="42" spans="1:6">
      <c r="A42" s="14" t="s">
        <v>71</v>
      </c>
      <c r="B42" s="14" t="s">
        <v>72</v>
      </c>
      <c r="C42" s="14" t="s">
        <v>18</v>
      </c>
      <c r="D42" s="4"/>
      <c r="E42" s="61" t="str">
        <f t="shared" si="0"/>
        <v>5.2.73 - INTEGRITY</v>
      </c>
      <c r="F42" s="61" t="str">
        <f t="shared" si="1"/>
        <v>OTROS</v>
      </c>
    </row>
    <row r="43" spans="1:6">
      <c r="A43" s="14" t="s">
        <v>270</v>
      </c>
      <c r="B43" s="14" t="s">
        <v>73</v>
      </c>
      <c r="C43" s="14" t="s">
        <v>28</v>
      </c>
      <c r="D43" s="4"/>
      <c r="E43" s="61" t="str">
        <f t="shared" si="0"/>
        <v xml:space="preserve">5.2.74 - Carta Acuerdo INTA - FA - H2020 FERTIMANURE  </v>
      </c>
      <c r="F43" s="61" t="str">
        <f t="shared" si="1"/>
        <v>EU-H2020</v>
      </c>
    </row>
    <row r="44" spans="1:6">
      <c r="A44" s="14" t="s">
        <v>271</v>
      </c>
      <c r="B44" s="14" t="s">
        <v>74</v>
      </c>
      <c r="C44" s="14" t="s">
        <v>18</v>
      </c>
      <c r="D44" s="4"/>
      <c r="E44" s="61" t="str">
        <f t="shared" si="0"/>
        <v>5.2.75 - Carta Acuerdo INTA - FA – REZATEC</v>
      </c>
      <c r="F44" s="61" t="str">
        <f t="shared" si="1"/>
        <v>OTROS</v>
      </c>
    </row>
    <row r="45" spans="1:6">
      <c r="A45" s="14" t="s">
        <v>272</v>
      </c>
      <c r="B45" s="14" t="s">
        <v>75</v>
      </c>
      <c r="C45" s="14" t="s">
        <v>21</v>
      </c>
      <c r="D45" s="4"/>
      <c r="E45" s="61" t="str">
        <f t="shared" si="0"/>
        <v>5.2.76 - FTG- ATN/RR-18757-RG - EDICION GENICA</v>
      </c>
      <c r="F45" s="61" t="str">
        <f t="shared" si="1"/>
        <v>FONTAGRO</v>
      </c>
    </row>
    <row r="46" spans="1:6">
      <c r="A46" s="14" t="s">
        <v>273</v>
      </c>
      <c r="B46" s="14" t="s">
        <v>76</v>
      </c>
      <c r="C46" s="14" t="s">
        <v>21</v>
      </c>
      <c r="D46" s="4"/>
      <c r="E46" s="61" t="str">
        <f t="shared" si="0"/>
        <v>5.2.77 - FTG-ATN/RF-18786-RG - OXIDO NITROSO</v>
      </c>
      <c r="F46" s="61" t="str">
        <f t="shared" si="1"/>
        <v>FONTAGRO</v>
      </c>
    </row>
    <row r="47" spans="1:6">
      <c r="A47" s="14" t="s">
        <v>274</v>
      </c>
      <c r="B47" s="14" t="s">
        <v>77</v>
      </c>
      <c r="C47" s="14" t="s">
        <v>18</v>
      </c>
      <c r="D47" s="4"/>
      <c r="E47" s="61" t="str">
        <f t="shared" si="0"/>
        <v>5.2.78 - STE N° 2942 INTA-VETAL</v>
      </c>
      <c r="F47" s="61" t="str">
        <f t="shared" si="1"/>
        <v>OTROS</v>
      </c>
    </row>
    <row r="48" spans="1:6">
      <c r="A48" s="14" t="s">
        <v>78</v>
      </c>
      <c r="B48" s="14" t="s">
        <v>79</v>
      </c>
      <c r="C48" s="14" t="s">
        <v>18</v>
      </c>
      <c r="D48" s="4"/>
      <c r="E48" s="61" t="str">
        <f t="shared" si="0"/>
        <v>5.2.79 - The Nature Conservancy - Colecciones Nº 3, 4 y 5</v>
      </c>
      <c r="F48" s="61" t="str">
        <f t="shared" si="1"/>
        <v>OTROS</v>
      </c>
    </row>
    <row r="49" spans="1:6">
      <c r="A49" s="14" t="s">
        <v>80</v>
      </c>
      <c r="B49" s="14" t="s">
        <v>81</v>
      </c>
      <c r="C49" s="14" t="s">
        <v>18</v>
      </c>
      <c r="D49" s="4"/>
      <c r="E49" s="61" t="str">
        <f t="shared" si="0"/>
        <v>5.2.81 - C/A N° 4/2021 - INIDEP - IFOP</v>
      </c>
      <c r="F49" s="61" t="str">
        <f t="shared" si="1"/>
        <v>OTROS</v>
      </c>
    </row>
    <row r="50" spans="1:6">
      <c r="A50" s="14" t="s">
        <v>82</v>
      </c>
      <c r="B50" s="14" t="s">
        <v>83</v>
      </c>
      <c r="C50" s="14" t="s">
        <v>18</v>
      </c>
      <c r="D50" s="4"/>
      <c r="E50" s="61" t="str">
        <f t="shared" si="0"/>
        <v>5.2.82 - ACA- ATN/RR-18757-RG - EDICION GENICA</v>
      </c>
      <c r="F50" s="61" t="str">
        <f t="shared" si="1"/>
        <v>OTROS</v>
      </c>
    </row>
    <row r="51" spans="1:6">
      <c r="A51" s="14" t="s">
        <v>84</v>
      </c>
      <c r="B51" s="14" t="s">
        <v>85</v>
      </c>
      <c r="C51" s="14" t="s">
        <v>18</v>
      </c>
      <c r="D51" s="4"/>
      <c r="E51" s="61" t="str">
        <f t="shared" si="0"/>
        <v>5.2.83 - Contrato IAEA N° 25103</v>
      </c>
      <c r="F51" s="61" t="str">
        <f t="shared" si="1"/>
        <v>OTROS</v>
      </c>
    </row>
    <row r="52" spans="1:6">
      <c r="A52" s="14" t="s">
        <v>86</v>
      </c>
      <c r="B52" s="14" t="s">
        <v>87</v>
      </c>
      <c r="C52" s="14" t="s">
        <v>18</v>
      </c>
      <c r="D52" s="4"/>
      <c r="E52" s="61" t="str">
        <f t="shared" si="0"/>
        <v>5.2.84 - C/A INTA-FA Cabana</v>
      </c>
      <c r="F52" s="61" t="str">
        <f t="shared" si="1"/>
        <v>OTROS</v>
      </c>
    </row>
    <row r="53" spans="1:6">
      <c r="A53" s="14" t="s">
        <v>88</v>
      </c>
      <c r="B53" s="14" t="s">
        <v>89</v>
      </c>
      <c r="C53" s="14" t="s">
        <v>18</v>
      </c>
      <c r="D53" s="4"/>
      <c r="E53" s="61" t="str">
        <f t="shared" si="0"/>
        <v>5.2.85 - BUTANTAN</v>
      </c>
      <c r="F53" s="61" t="str">
        <f t="shared" si="1"/>
        <v>OTROS</v>
      </c>
    </row>
    <row r="54" spans="1:6">
      <c r="A54" s="14" t="s">
        <v>90</v>
      </c>
      <c r="B54" s="14" t="s">
        <v>91</v>
      </c>
      <c r="C54" s="14" t="s">
        <v>18</v>
      </c>
      <c r="D54" s="4"/>
      <c r="E54" s="61" t="str">
        <f t="shared" si="0"/>
        <v>5.2.86 - Donación ERM Foundation</v>
      </c>
      <c r="F54" s="61" t="str">
        <f t="shared" si="1"/>
        <v>OTROS</v>
      </c>
    </row>
    <row r="55" spans="1:6">
      <c r="A55" s="14" t="s">
        <v>92</v>
      </c>
      <c r="B55" s="14" t="s">
        <v>93</v>
      </c>
      <c r="C55" s="14" t="s">
        <v>28</v>
      </c>
      <c r="D55" s="4"/>
      <c r="E55" s="61" t="str">
        <f t="shared" si="0"/>
        <v>5.2.87 - H2020 - Se4All - GA N° 101007630</v>
      </c>
      <c r="F55" s="61" t="str">
        <f t="shared" si="1"/>
        <v>EU-H2020</v>
      </c>
    </row>
    <row r="56" spans="1:6">
      <c r="A56" s="14" t="s">
        <v>94</v>
      </c>
      <c r="B56" s="14" t="s">
        <v>95</v>
      </c>
      <c r="C56" s="14" t="s">
        <v>28</v>
      </c>
      <c r="D56" s="4"/>
      <c r="E56" s="61" t="str">
        <f t="shared" si="0"/>
        <v>5.2.88 - H2020 - BeXyl - GA N° 10106059</v>
      </c>
      <c r="F56" s="61" t="str">
        <f t="shared" si="1"/>
        <v>EU-H2020</v>
      </c>
    </row>
    <row r="57" spans="1:6">
      <c r="A57" s="14" t="s">
        <v>96</v>
      </c>
      <c r="B57" s="14" t="s">
        <v>97</v>
      </c>
      <c r="C57" s="14" t="s">
        <v>21</v>
      </c>
      <c r="D57" s="4"/>
      <c r="E57" s="61" t="str">
        <f t="shared" si="0"/>
        <v>5.2.89 - FTG- ATN/RF-18769-RG y ATN/RF-18770-RG.Secuestro de Carbono - Co Ejec INIA</v>
      </c>
      <c r="F57" s="61" t="str">
        <f t="shared" si="1"/>
        <v>FONTAGRO</v>
      </c>
    </row>
    <row r="58" spans="1:6">
      <c r="A58" s="14" t="s">
        <v>98</v>
      </c>
      <c r="B58" s="14" t="s">
        <v>99</v>
      </c>
      <c r="C58" s="14" t="s">
        <v>18</v>
      </c>
      <c r="D58" s="4"/>
      <c r="E58" s="61" t="str">
        <f t="shared" si="0"/>
        <v>5.2.9 - Babet Real 5 Acta Acuerdo INTA-FA</v>
      </c>
      <c r="F58" s="61" t="str">
        <f t="shared" si="1"/>
        <v>OTROS</v>
      </c>
    </row>
    <row r="59" spans="1:6">
      <c r="A59" s="14" t="s">
        <v>100</v>
      </c>
      <c r="B59" s="14" t="s">
        <v>101</v>
      </c>
      <c r="C59" s="14" t="s">
        <v>18</v>
      </c>
      <c r="D59" s="4"/>
      <c r="E59" s="61" t="str">
        <f t="shared" si="0"/>
        <v>5.2.90 - Consultoría CIAT - FA</v>
      </c>
      <c r="F59" s="61" t="str">
        <f t="shared" si="1"/>
        <v>OTROS</v>
      </c>
    </row>
    <row r="60" spans="1:6">
      <c r="A60" s="14" t="s">
        <v>102</v>
      </c>
      <c r="B60" s="14" t="s">
        <v>103</v>
      </c>
      <c r="C60" s="14" t="s">
        <v>104</v>
      </c>
      <c r="D60" s="4"/>
      <c r="E60" s="61" t="str">
        <f t="shared" si="0"/>
        <v>5.2.91 - AECID - Resolución ELLAS+ Núm. 2022/SPE/0000400088</v>
      </c>
      <c r="F60" s="61" t="str">
        <f t="shared" si="1"/>
        <v>AECID</v>
      </c>
    </row>
    <row r="61" spans="1:6">
      <c r="A61" s="14" t="s">
        <v>105</v>
      </c>
      <c r="B61" s="14" t="s">
        <v>106</v>
      </c>
      <c r="C61" s="14" t="s">
        <v>18</v>
      </c>
      <c r="D61" s="4"/>
      <c r="E61" s="61" t="str">
        <f t="shared" si="0"/>
        <v>5.2.92 - Consultoría - CEPAL (Proyecto Facility)</v>
      </c>
      <c r="F61" s="61" t="str">
        <f t="shared" si="1"/>
        <v>OTROS</v>
      </c>
    </row>
    <row r="62" spans="1:6">
      <c r="A62" s="14" t="s">
        <v>275</v>
      </c>
      <c r="B62" s="14" t="s">
        <v>276</v>
      </c>
      <c r="C62" s="14" t="s">
        <v>18</v>
      </c>
      <c r="D62" s="14"/>
      <c r="E62" s="61" t="str">
        <f t="shared" si="0"/>
        <v>5.2.93 - IAEA N° 24797</v>
      </c>
      <c r="F62" s="61" t="str">
        <f t="shared" si="1"/>
        <v>OTROS</v>
      </c>
    </row>
    <row r="63" spans="1:6">
      <c r="A63" s="14" t="s">
        <v>277</v>
      </c>
      <c r="B63" s="61" t="s">
        <v>278</v>
      </c>
      <c r="C63" s="14" t="s">
        <v>21</v>
      </c>
      <c r="D63" s="14"/>
      <c r="E63" s="61" t="str">
        <f t="shared" si="0"/>
        <v xml:space="preserve">5.2.94 - FTG - Monitoreo satelital de cantidad y calidad de biomasa disponible en sistemas ganaderos pastoriles de ALC </v>
      </c>
      <c r="F63" s="61" t="str">
        <f t="shared" si="1"/>
        <v>FONTAGRO</v>
      </c>
    </row>
    <row r="64" spans="1:6">
      <c r="A64" s="14" t="s">
        <v>279</v>
      </c>
      <c r="B64" s="61" t="s">
        <v>403</v>
      </c>
      <c r="C64" s="14" t="s">
        <v>21</v>
      </c>
      <c r="D64" s="14"/>
      <c r="E64" s="61" t="str">
        <f t="shared" si="0"/>
        <v>5.2.95 - “FONDO SEMILLA - Enabling Indigenous Climate Smart Agriculture Resilience in the Latin America and Caribbean Region”</v>
      </c>
      <c r="F64" s="61" t="str">
        <f t="shared" si="1"/>
        <v>FONTAGRO</v>
      </c>
    </row>
    <row r="65" spans="1:6">
      <c r="A65" s="14" t="s">
        <v>280</v>
      </c>
      <c r="B65" s="14" t="s">
        <v>281</v>
      </c>
      <c r="C65" s="14" t="s">
        <v>18</v>
      </c>
      <c r="D65" s="14"/>
      <c r="E65" s="61" t="str">
        <f t="shared" si="0"/>
        <v>5.2.96 - Distinción franco - argentina - IFA</v>
      </c>
      <c r="F65" s="61" t="str">
        <f t="shared" si="1"/>
        <v>OTROS</v>
      </c>
    </row>
    <row r="66" spans="1:6">
      <c r="A66" s="14" t="s">
        <v>282</v>
      </c>
      <c r="B66" s="14" t="s">
        <v>283</v>
      </c>
      <c r="C66" s="14" t="s">
        <v>18</v>
      </c>
      <c r="D66" s="14"/>
      <c r="E66" s="61" t="str">
        <f t="shared" si="0"/>
        <v xml:space="preserve">5.2.97 - OEA - MINCYT </v>
      </c>
      <c r="F66" s="61" t="str">
        <f t="shared" si="1"/>
        <v>OTROS</v>
      </c>
    </row>
    <row r="67" spans="1:6">
      <c r="A67" s="14" t="s">
        <v>284</v>
      </c>
      <c r="B67" s="14" t="s">
        <v>285</v>
      </c>
      <c r="C67" s="14" t="s">
        <v>18</v>
      </c>
      <c r="D67" s="14"/>
      <c r="E67" s="61" t="str">
        <f t="shared" ref="E67:E101" si="2">CONCATENATE(A67," - ",B67)</f>
        <v xml:space="preserve">5.2.98 - Consultoría - PROGREEN (Banco Mundial) </v>
      </c>
      <c r="F67" s="61" t="str">
        <f t="shared" ref="F67:F101" si="3">+C67</f>
        <v>OTROS</v>
      </c>
    </row>
    <row r="68" spans="1:6">
      <c r="A68" s="14" t="s">
        <v>286</v>
      </c>
      <c r="B68" s="14" t="s">
        <v>287</v>
      </c>
      <c r="C68" s="14" t="s">
        <v>18</v>
      </c>
      <c r="D68" s="14"/>
      <c r="E68" s="61" t="str">
        <f t="shared" si="2"/>
        <v>5.2.99 - Contrato de consultoría ICTA - Guatemala</v>
      </c>
      <c r="F68" s="61" t="str">
        <f t="shared" si="3"/>
        <v>OTROS</v>
      </c>
    </row>
    <row r="69" spans="1:6">
      <c r="A69" s="14" t="s">
        <v>336</v>
      </c>
      <c r="B69" s="14" t="s">
        <v>337</v>
      </c>
      <c r="C69" s="14" t="s">
        <v>18</v>
      </c>
      <c r="D69" s="14"/>
      <c r="E69" s="61" t="str">
        <f t="shared" si="2"/>
        <v>5.2.100 - STE Dollvet</v>
      </c>
      <c r="F69" s="61" t="str">
        <f t="shared" si="3"/>
        <v>OTROS</v>
      </c>
    </row>
    <row r="70" spans="1:6">
      <c r="A70" s="14" t="s">
        <v>338</v>
      </c>
      <c r="B70" s="14" t="s">
        <v>339</v>
      </c>
      <c r="C70" s="14" t="s">
        <v>18</v>
      </c>
      <c r="D70" s="14"/>
      <c r="E70" s="61" t="str">
        <f t="shared" si="2"/>
        <v>5.2.101 - CRDF GLOBAL - Grant Agreement N° G-202302-69885</v>
      </c>
      <c r="F70" s="61" t="str">
        <f t="shared" si="3"/>
        <v>OTROS</v>
      </c>
    </row>
    <row r="71" spans="1:6">
      <c r="A71" s="14" t="s">
        <v>340</v>
      </c>
      <c r="B71" s="14" t="s">
        <v>341</v>
      </c>
      <c r="C71" s="14" t="s">
        <v>18</v>
      </c>
      <c r="D71" s="14"/>
      <c r="E71" s="61" t="str">
        <f t="shared" si="2"/>
        <v>5.2.102 - C/A INTA - F.A. CONSULTORIA FCFP</v>
      </c>
      <c r="F71" s="61" t="str">
        <f t="shared" si="3"/>
        <v>OTROS</v>
      </c>
    </row>
    <row r="72" spans="1:6">
      <c r="A72" s="14" t="s">
        <v>344</v>
      </c>
      <c r="B72" s="14" t="s">
        <v>348</v>
      </c>
      <c r="C72" s="14" t="s">
        <v>18</v>
      </c>
      <c r="D72" s="14"/>
      <c r="E72" s="61" t="str">
        <f t="shared" si="2"/>
        <v>5.2.103 - GFRA/CRDF - Mansilla</v>
      </c>
      <c r="F72" s="61" t="str">
        <f t="shared" si="3"/>
        <v>OTROS</v>
      </c>
    </row>
    <row r="73" spans="1:6">
      <c r="A73" s="14" t="s">
        <v>345</v>
      </c>
      <c r="B73" s="14" t="s">
        <v>349</v>
      </c>
      <c r="C73" s="14" t="s">
        <v>18</v>
      </c>
      <c r="D73" s="14"/>
      <c r="E73" s="61" t="str">
        <f t="shared" si="2"/>
        <v>5.2.104 - GFRA/CRDF - Konig</v>
      </c>
      <c r="F73" s="61" t="str">
        <f t="shared" si="3"/>
        <v>OTROS</v>
      </c>
    </row>
    <row r="74" spans="1:6">
      <c r="A74" s="14" t="s">
        <v>346</v>
      </c>
      <c r="B74" s="14" t="s">
        <v>350</v>
      </c>
      <c r="C74" s="14" t="s">
        <v>18</v>
      </c>
      <c r="D74" s="14"/>
      <c r="E74" s="61" t="str">
        <f t="shared" si="2"/>
        <v>5.2.105 - Contrato Global Factor</v>
      </c>
      <c r="F74" s="61" t="str">
        <f t="shared" si="3"/>
        <v>OTROS</v>
      </c>
    </row>
    <row r="75" spans="1:6">
      <c r="A75" s="14" t="s">
        <v>347</v>
      </c>
      <c r="B75" s="14" t="s">
        <v>351</v>
      </c>
      <c r="C75" s="14" t="s">
        <v>18</v>
      </c>
      <c r="D75" s="14"/>
      <c r="E75" s="61" t="str">
        <f t="shared" si="2"/>
        <v>5.2.106 - CRDF GLOBAL C70039</v>
      </c>
      <c r="F75" s="61" t="str">
        <f t="shared" si="3"/>
        <v>OTROS</v>
      </c>
    </row>
    <row r="76" spans="1:6">
      <c r="A76" s="14" t="s">
        <v>352</v>
      </c>
      <c r="B76" s="14" t="s">
        <v>358</v>
      </c>
      <c r="C76" s="14" t="s">
        <v>18</v>
      </c>
      <c r="D76" s="4"/>
      <c r="E76" s="61" t="str">
        <f t="shared" si="2"/>
        <v>5.2.107 - C/A INTA - FA - Univ. De Georgia</v>
      </c>
      <c r="F76" s="61" t="str">
        <f t="shared" si="3"/>
        <v>OTROS</v>
      </c>
    </row>
    <row r="77" spans="1:6">
      <c r="A77" s="14" t="s">
        <v>353</v>
      </c>
      <c r="B77" s="14" t="s">
        <v>359</v>
      </c>
      <c r="C77" s="14" t="s">
        <v>21</v>
      </c>
      <c r="D77" s="4"/>
      <c r="E77" s="61" t="str">
        <f t="shared" si="2"/>
        <v>5.2.108 - FTG - Bienestar Fincas Ganaderas</v>
      </c>
      <c r="F77" s="61" t="str">
        <f t="shared" si="3"/>
        <v>FONTAGRO</v>
      </c>
    </row>
    <row r="78" spans="1:6">
      <c r="A78" s="14" t="s">
        <v>354</v>
      </c>
      <c r="B78" s="14" t="s">
        <v>360</v>
      </c>
      <c r="C78" s="14" t="s">
        <v>21</v>
      </c>
      <c r="D78" s="4"/>
      <c r="E78" s="61" t="str">
        <f t="shared" si="2"/>
        <v>5.2.109 - FTG - Ganadería Comunidades Mapuches</v>
      </c>
      <c r="F78" s="61" t="str">
        <f t="shared" si="3"/>
        <v>FONTAGRO</v>
      </c>
    </row>
    <row r="79" spans="1:6">
      <c r="A79" s="14" t="s">
        <v>355</v>
      </c>
      <c r="B79" s="14" t="s">
        <v>361</v>
      </c>
      <c r="C79" s="14" t="s">
        <v>21</v>
      </c>
      <c r="D79" s="4"/>
      <c r="E79" s="61" t="str">
        <f t="shared" si="2"/>
        <v>5.2.110 - FTG - MPI - Ganadería Comunidades Mapuches</v>
      </c>
      <c r="F79" s="61" t="str">
        <f t="shared" si="3"/>
        <v>FONTAGRO</v>
      </c>
    </row>
    <row r="80" spans="1:6">
      <c r="A80" s="14" t="s">
        <v>356</v>
      </c>
      <c r="B80" s="14" t="s">
        <v>362</v>
      </c>
      <c r="C80" s="14" t="s">
        <v>21</v>
      </c>
      <c r="D80" s="4"/>
      <c r="E80" s="61" t="str">
        <f t="shared" si="2"/>
        <v>5.2.111 - FTG - Red de Fincas</v>
      </c>
      <c r="F80" s="61" t="str">
        <f t="shared" si="3"/>
        <v>FONTAGRO</v>
      </c>
    </row>
    <row r="81" spans="1:6">
      <c r="A81" s="14" t="s">
        <v>357</v>
      </c>
      <c r="B81" s="14" t="s">
        <v>365</v>
      </c>
      <c r="C81" s="14" t="s">
        <v>18</v>
      </c>
      <c r="D81" s="4"/>
      <c r="E81" s="61" t="str">
        <f t="shared" si="2"/>
        <v>5.2.112 - C/A INTA FA-Regante</v>
      </c>
      <c r="F81" s="61" t="str">
        <f t="shared" si="3"/>
        <v>OTROS</v>
      </c>
    </row>
    <row r="82" spans="1:6">
      <c r="A82" s="14" t="s">
        <v>363</v>
      </c>
      <c r="B82" s="14" t="s">
        <v>366</v>
      </c>
      <c r="C82" s="14" t="s">
        <v>18</v>
      </c>
      <c r="D82" s="4"/>
      <c r="E82" s="61" t="str">
        <f t="shared" si="2"/>
        <v>5.2.113 - Acuerdo Universidad Naciones Unidas</v>
      </c>
      <c r="F82" s="61" t="str">
        <f t="shared" si="3"/>
        <v>OTROS</v>
      </c>
    </row>
    <row r="83" spans="1:6">
      <c r="A83" s="14" t="s">
        <v>364</v>
      </c>
      <c r="B83" s="14" t="s">
        <v>367</v>
      </c>
      <c r="C83" s="14" t="s">
        <v>18</v>
      </c>
      <c r="D83" s="4"/>
      <c r="E83" s="61" t="str">
        <f t="shared" si="2"/>
        <v>5.2.114 - Emory</v>
      </c>
      <c r="F83" s="61" t="str">
        <f t="shared" si="3"/>
        <v>OTROS</v>
      </c>
    </row>
    <row r="84" spans="1:6">
      <c r="A84" s="14" t="s">
        <v>368</v>
      </c>
      <c r="B84" s="14" t="s">
        <v>372</v>
      </c>
      <c r="C84" s="14" t="s">
        <v>18</v>
      </c>
      <c r="D84" s="4"/>
      <c r="E84" s="61" t="str">
        <f t="shared" si="2"/>
        <v>5.2.115 - INTA-FA Frutales</v>
      </c>
      <c r="F84" s="61" t="str">
        <f t="shared" si="3"/>
        <v>OTROS</v>
      </c>
    </row>
    <row r="85" spans="1:6">
      <c r="A85" s="14" t="s">
        <v>369</v>
      </c>
      <c r="B85" s="14" t="s">
        <v>373</v>
      </c>
      <c r="C85" s="14" t="s">
        <v>21</v>
      </c>
      <c r="D85" s="4"/>
      <c r="E85" s="61" t="str">
        <f t="shared" si="2"/>
        <v>5.2.116 - Co-ejecución FTG Rumiantes</v>
      </c>
      <c r="F85" s="61" t="str">
        <f t="shared" si="3"/>
        <v>FONTAGRO</v>
      </c>
    </row>
    <row r="86" spans="1:6">
      <c r="A86" s="14" t="s">
        <v>370</v>
      </c>
      <c r="B86" s="14" t="s">
        <v>374</v>
      </c>
      <c r="C86" s="14" t="s">
        <v>18</v>
      </c>
      <c r="D86" s="4"/>
      <c r="E86" s="61" t="str">
        <f t="shared" si="2"/>
        <v>5.2.117 - Acuerdo de Cooperación Bioma</v>
      </c>
      <c r="F86" s="61" t="str">
        <f t="shared" si="3"/>
        <v>OTROS</v>
      </c>
    </row>
    <row r="87" spans="1:6">
      <c r="A87" s="14" t="s">
        <v>371</v>
      </c>
      <c r="B87" s="14" t="s">
        <v>375</v>
      </c>
      <c r="C87" s="14" t="s">
        <v>21</v>
      </c>
      <c r="D87" s="4"/>
      <c r="E87" s="61" t="str">
        <f t="shared" si="2"/>
        <v>5.2.118 - FTG-Fondo Semilla HLB</v>
      </c>
      <c r="F87" s="61" t="str">
        <f t="shared" si="3"/>
        <v>FONTAGRO</v>
      </c>
    </row>
    <row r="88" spans="1:6">
      <c r="A88" s="14" t="s">
        <v>376</v>
      </c>
      <c r="B88" s="14" t="s">
        <v>380</v>
      </c>
      <c r="C88" s="14" t="s">
        <v>18</v>
      </c>
      <c r="D88" s="4"/>
      <c r="E88" s="61" t="str">
        <f t="shared" si="2"/>
        <v>5.2.119 - C. A. INTA - F.A. - Phy2Climate (H2020)</v>
      </c>
      <c r="F88" s="61" t="str">
        <f t="shared" si="3"/>
        <v>OTROS</v>
      </c>
    </row>
    <row r="89" spans="1:6">
      <c r="A89" s="14" t="s">
        <v>377</v>
      </c>
      <c r="B89" s="14" t="s">
        <v>381</v>
      </c>
      <c r="C89" s="14" t="s">
        <v>18</v>
      </c>
      <c r="D89" s="4"/>
      <c r="E89" s="61" t="str">
        <f t="shared" si="2"/>
        <v>5.2.120 - Consultoría BID - INA</v>
      </c>
      <c r="F89" s="61" t="str">
        <f t="shared" si="3"/>
        <v>OTROS</v>
      </c>
    </row>
    <row r="90" spans="1:6">
      <c r="A90" s="14" t="s">
        <v>378</v>
      </c>
      <c r="B90" s="14" t="s">
        <v>382</v>
      </c>
      <c r="C90" s="14" t="s">
        <v>21</v>
      </c>
      <c r="D90" s="4"/>
      <c r="E90" s="61" t="str">
        <f t="shared" si="2"/>
        <v>5.2.121 - Co-ejecución INIA Chile Uso Nitrógeno</v>
      </c>
      <c r="F90" s="61" t="str">
        <f t="shared" si="3"/>
        <v>FONTAGRO</v>
      </c>
    </row>
    <row r="91" spans="1:6">
      <c r="A91" s="14" t="s">
        <v>379</v>
      </c>
      <c r="B91" s="14" t="s">
        <v>383</v>
      </c>
      <c r="C91" s="14" t="s">
        <v>18</v>
      </c>
      <c r="D91" s="4"/>
      <c r="E91" s="61" t="str">
        <f t="shared" si="2"/>
        <v>5.2.122 - Acuerdo USDA Immunogenicity</v>
      </c>
      <c r="F91" s="61" t="str">
        <f t="shared" si="3"/>
        <v>OTROS</v>
      </c>
    </row>
    <row r="92" spans="1:6">
      <c r="A92" s="14" t="s">
        <v>384</v>
      </c>
      <c r="B92" s="14" t="s">
        <v>385</v>
      </c>
      <c r="C92" s="14" t="s">
        <v>18</v>
      </c>
      <c r="D92" s="4"/>
      <c r="E92" s="61" t="str">
        <f t="shared" si="2"/>
        <v>5.2.123 - C/A INTA-FA BeXyl</v>
      </c>
      <c r="F92" s="61" t="str">
        <f t="shared" si="3"/>
        <v>OTROS</v>
      </c>
    </row>
    <row r="93" spans="1:6">
      <c r="A93" s="14" t="s">
        <v>386</v>
      </c>
      <c r="B93" s="14" t="s">
        <v>387</v>
      </c>
      <c r="C93" s="14" t="s">
        <v>18</v>
      </c>
      <c r="D93" s="4"/>
      <c r="E93" s="61" t="str">
        <f t="shared" si="2"/>
        <v>5.2.124 - FAJ - FA</v>
      </c>
      <c r="F93" s="61" t="str">
        <f t="shared" si="3"/>
        <v>OTROS</v>
      </c>
    </row>
    <row r="94" spans="1:6">
      <c r="A94" s="14" t="s">
        <v>388</v>
      </c>
      <c r="B94" s="14" t="s">
        <v>389</v>
      </c>
      <c r="C94" s="14" t="s">
        <v>18</v>
      </c>
      <c r="D94" s="4"/>
      <c r="E94" s="61" t="str">
        <f t="shared" si="2"/>
        <v>5.2.125 - STE 2604 CENIPALMA</v>
      </c>
      <c r="F94" s="61" t="str">
        <f t="shared" si="3"/>
        <v>OTROS</v>
      </c>
    </row>
    <row r="95" spans="1:6">
      <c r="A95" s="14" t="s">
        <v>390</v>
      </c>
      <c r="B95" s="14" t="s">
        <v>391</v>
      </c>
      <c r="C95" s="14" t="s">
        <v>18</v>
      </c>
      <c r="D95" s="4"/>
      <c r="E95" s="61" t="str">
        <f t="shared" si="2"/>
        <v>5.2.126 - Acuerdo Univ. de Belfast</v>
      </c>
      <c r="F95" s="61" t="str">
        <f t="shared" si="3"/>
        <v>OTROS</v>
      </c>
    </row>
    <row r="96" spans="1:6">
      <c r="A96" s="14" t="s">
        <v>392</v>
      </c>
      <c r="B96" s="14" t="s">
        <v>393</v>
      </c>
      <c r="C96" s="14" t="s">
        <v>18</v>
      </c>
      <c r="D96" s="4"/>
      <c r="E96" s="61" t="str">
        <f t="shared" si="2"/>
        <v>5.2.127 - Consultoría BID RG-T4294-P001 - Plataforma Pueblos</v>
      </c>
      <c r="F96" s="61" t="str">
        <f t="shared" si="3"/>
        <v>OTROS</v>
      </c>
    </row>
    <row r="97" spans="1:6">
      <c r="A97" s="14" t="s">
        <v>394</v>
      </c>
      <c r="B97" s="14" t="s">
        <v>395</v>
      </c>
      <c r="C97" s="14" t="s">
        <v>18</v>
      </c>
      <c r="D97" s="4"/>
      <c r="E97" s="61" t="str">
        <f t="shared" si="2"/>
        <v>5.2.128 - Consultoría BID RG-T4260-P001 - Actualización Imve</v>
      </c>
      <c r="F97" s="61" t="str">
        <f t="shared" si="3"/>
        <v>OTROS</v>
      </c>
    </row>
    <row r="98" spans="1:6">
      <c r="A98" s="14" t="s">
        <v>396</v>
      </c>
      <c r="B98" s="14" t="s">
        <v>397</v>
      </c>
      <c r="C98" s="14" t="s">
        <v>18</v>
      </c>
      <c r="D98" s="4"/>
      <c r="E98" s="61" t="str">
        <f t="shared" si="2"/>
        <v>5.2.129 - C/A 1/25 INIDEP - FA Donación Schmidt Sciences</v>
      </c>
      <c r="F98" s="61" t="str">
        <f t="shared" si="3"/>
        <v>OTROS</v>
      </c>
    </row>
    <row r="99" spans="1:6">
      <c r="A99" s="14" t="s">
        <v>398</v>
      </c>
      <c r="B99" s="14" t="s">
        <v>399</v>
      </c>
      <c r="C99" s="14" t="s">
        <v>18</v>
      </c>
      <c r="D99" s="4"/>
      <c r="E99" s="61" t="str">
        <f t="shared" si="2"/>
        <v>5.2.130 - CA INTA-FAO Proyecto PPR REDD+</v>
      </c>
      <c r="F99" s="61" t="str">
        <f t="shared" si="3"/>
        <v>OTROS</v>
      </c>
    </row>
    <row r="100" spans="1:6">
      <c r="A100" s="14" t="s">
        <v>400</v>
      </c>
      <c r="B100" s="14" t="s">
        <v>401</v>
      </c>
      <c r="C100" s="14" t="s">
        <v>18</v>
      </c>
      <c r="D100" s="4"/>
      <c r="E100" s="61" t="str">
        <f t="shared" si="2"/>
        <v>5.2.131 - CA FAO-INTA Balance de C en MBGI</v>
      </c>
      <c r="F100" s="61" t="str">
        <f t="shared" si="3"/>
        <v>OTROS</v>
      </c>
    </row>
    <row r="101" spans="1:6">
      <c r="A101" s="14" t="s">
        <v>405</v>
      </c>
      <c r="B101" s="14" t="s">
        <v>406</v>
      </c>
      <c r="C101" s="14" t="s">
        <v>18</v>
      </c>
      <c r="D101" s="4"/>
      <c r="E101" s="61" t="str">
        <f t="shared" si="2"/>
        <v>5.2.132 - C/A INTA H2020 ProCEedS</v>
      </c>
      <c r="F101" s="61" t="str">
        <f t="shared" si="3"/>
        <v>OTROS</v>
      </c>
    </row>
    <row r="102" spans="1:6">
      <c r="A102" s="14" t="s">
        <v>407</v>
      </c>
      <c r="B102" s="14" t="s">
        <v>408</v>
      </c>
      <c r="C102" s="14" t="s">
        <v>18</v>
      </c>
      <c r="D102" s="4"/>
      <c r="E102" s="61" t="str">
        <f t="shared" ref="E102:E106" si="4">CONCATENATE(A102," - ",B102)</f>
        <v>5.2.133 - FAO - Cuenca Forestal Caimancito LOA/FAOAR/PPR/037</v>
      </c>
      <c r="F102" s="61" t="str">
        <f t="shared" ref="F102:F106" si="5">+C102</f>
        <v>OTROS</v>
      </c>
    </row>
    <row r="103" spans="1:6">
      <c r="A103" s="14" t="s">
        <v>409</v>
      </c>
      <c r="B103" s="14" t="s">
        <v>410</v>
      </c>
      <c r="C103" s="14" t="s">
        <v>18</v>
      </c>
      <c r="D103" s="4"/>
      <c r="E103" s="61" t="str">
        <f t="shared" si="4"/>
        <v>5.2.134 - Consultoría BID #RG-4500-P003 Indicadores de Sostenibilidad de la Ganaderia Bovina</v>
      </c>
      <c r="F103" s="61" t="str">
        <f t="shared" si="5"/>
        <v>OTROS</v>
      </c>
    </row>
    <row r="104" spans="1:6">
      <c r="A104" s="14" t="s">
        <v>411</v>
      </c>
      <c r="B104" s="14" t="s">
        <v>412</v>
      </c>
      <c r="C104" s="14" t="s">
        <v>18</v>
      </c>
      <c r="D104" s="4"/>
      <c r="E104" s="61" t="str">
        <f t="shared" si="4"/>
        <v>5.2.135 - H2020 MSCA-RISE: TRACEWINDU</v>
      </c>
      <c r="F104" s="61" t="str">
        <f t="shared" si="5"/>
        <v>OTROS</v>
      </c>
    </row>
    <row r="105" spans="1:6">
      <c r="A105" s="14" t="s">
        <v>413</v>
      </c>
      <c r="B105" s="14" t="s">
        <v>414</v>
      </c>
      <c r="C105" s="14" t="s">
        <v>18</v>
      </c>
      <c r="D105" s="4"/>
      <c r="E105" s="61" t="str">
        <f t="shared" si="4"/>
        <v>5.2.136 - Consultoria BID  RG-T4260-P003 Cons. Agroecosistemas</v>
      </c>
      <c r="F105" s="61" t="str">
        <f t="shared" si="5"/>
        <v>OTROS</v>
      </c>
    </row>
    <row r="106" spans="1:6">
      <c r="A106" s="14" t="s">
        <v>415</v>
      </c>
      <c r="B106" s="14" t="s">
        <v>416</v>
      </c>
      <c r="C106" s="14" t="s">
        <v>18</v>
      </c>
      <c r="D106" s="4"/>
      <c r="E106" s="61" t="str">
        <f t="shared" si="4"/>
        <v>5.2.137 - FAO Grupo Bosque Zomo - Neuquen</v>
      </c>
      <c r="F106" s="61" t="str">
        <f t="shared" si="5"/>
        <v>OTROS</v>
      </c>
    </row>
    <row r="107" spans="1:6">
      <c r="A107" s="14" t="s">
        <v>417</v>
      </c>
      <c r="B107" s="14" t="s">
        <v>418</v>
      </c>
      <c r="C107" s="14" t="s">
        <v>18</v>
      </c>
      <c r="D107" s="4"/>
      <c r="E107" s="61" t="str">
        <f t="shared" ref="E107:E122" si="6">CONCATENATE(A107," - ",B107)</f>
        <v>5.2.138 - FAO TCP/RLA/4005</v>
      </c>
      <c r="F107" s="61" t="str">
        <f t="shared" ref="F107:F110" si="7">+C107</f>
        <v>OTROS</v>
      </c>
    </row>
    <row r="108" spans="1:6">
      <c r="A108" s="14" t="s">
        <v>419</v>
      </c>
      <c r="B108" s="14" t="s">
        <v>420</v>
      </c>
      <c r="C108" s="14" t="s">
        <v>18</v>
      </c>
      <c r="D108" s="4"/>
      <c r="E108" s="61" t="str">
        <f t="shared" si="6"/>
        <v>5.2.139 - FAO CDA Jujuy MBGI INTA</v>
      </c>
      <c r="F108" s="61" t="str">
        <f t="shared" si="7"/>
        <v>OTROS</v>
      </c>
    </row>
    <row r="109" spans="1:6">
      <c r="A109" s="14" t="s">
        <v>421</v>
      </c>
      <c r="B109" s="14" t="s">
        <v>422</v>
      </c>
      <c r="C109" s="14" t="s">
        <v>18</v>
      </c>
      <c r="D109" s="4"/>
      <c r="E109" s="61" t="str">
        <f t="shared" si="6"/>
        <v>5.2.140 - FAO - CDA Tucumán MBGI INTA</v>
      </c>
      <c r="F109" s="61" t="str">
        <f t="shared" si="7"/>
        <v>OTROS</v>
      </c>
    </row>
    <row r="110" spans="1:6">
      <c r="A110" s="14" t="s">
        <v>423</v>
      </c>
      <c r="B110" s="14" t="s">
        <v>424</v>
      </c>
      <c r="C110" s="14" t="s">
        <v>18</v>
      </c>
      <c r="D110" s="4"/>
      <c r="E110" s="61" t="str">
        <f t="shared" si="6"/>
        <v>5.2.141 - FAO - Plan Manejo de Bosques Neuquén</v>
      </c>
      <c r="F110" s="61" t="str">
        <f t="shared" si="7"/>
        <v>OTROS</v>
      </c>
    </row>
    <row r="111" spans="1:6">
      <c r="A111" s="14" t="s">
        <v>425</v>
      </c>
      <c r="B111" s="14" t="s">
        <v>435</v>
      </c>
      <c r="C111" s="14"/>
      <c r="D111" s="4"/>
      <c r="E111" s="61" t="str">
        <f t="shared" si="6"/>
        <v>5.2.142 - Consultoría Fundación Vida Silvestre</v>
      </c>
      <c r="F111" s="61"/>
    </row>
    <row r="112" spans="1:6">
      <c r="A112" s="14" t="s">
        <v>426</v>
      </c>
      <c r="B112" s="14" t="s">
        <v>436</v>
      </c>
      <c r="C112" s="14"/>
      <c r="D112" s="4"/>
      <c r="E112" s="61" t="str">
        <f t="shared" si="6"/>
        <v>5.2.143 - FAO - MBGI Río Negro</v>
      </c>
      <c r="F112" s="61"/>
    </row>
    <row r="113" spans="1:6">
      <c r="A113" s="14" t="s">
        <v>427</v>
      </c>
      <c r="B113" s="14" t="s">
        <v>437</v>
      </c>
      <c r="C113" s="14"/>
      <c r="D113" s="4"/>
      <c r="E113" s="61" t="str">
        <f t="shared" si="6"/>
        <v>5.2.144 - FAO-MBGI-BUENOS AIRES</v>
      </c>
      <c r="F113" s="61"/>
    </row>
    <row r="114" spans="1:6">
      <c r="A114" s="14" t="s">
        <v>428</v>
      </c>
      <c r="B114" s="14" t="s">
        <v>438</v>
      </c>
      <c r="C114" s="14"/>
      <c r="D114" s="4"/>
      <c r="E114" s="61" t="str">
        <f t="shared" si="6"/>
        <v>5.2.145 - Co-Ejec. ATN/RF-21533-RG Sist. Pastoriles</v>
      </c>
      <c r="F114" s="61"/>
    </row>
    <row r="115" spans="1:6">
      <c r="A115" s="14" t="s">
        <v>429</v>
      </c>
      <c r="B115" s="14" t="s">
        <v>439</v>
      </c>
      <c r="C115" s="14"/>
      <c r="D115" s="4"/>
      <c r="E115" s="61" t="str">
        <f t="shared" si="6"/>
        <v>5.2.146 - CurveBend-NWO</v>
      </c>
      <c r="F115" s="61"/>
    </row>
    <row r="116" spans="1:6">
      <c r="A116" s="14" t="s">
        <v>430</v>
      </c>
      <c r="B116" s="14" t="s">
        <v>440</v>
      </c>
      <c r="C116" s="14"/>
      <c r="D116" s="4"/>
      <c r="E116" s="61" t="str">
        <f t="shared" si="6"/>
        <v>5.2.147 - ATN/ RF- 21539- RG PAPA Y SEMILLA</v>
      </c>
      <c r="F116" s="61"/>
    </row>
    <row r="117" spans="1:6">
      <c r="A117" s="14" t="s">
        <v>431</v>
      </c>
      <c r="B117" s="14" t="s">
        <v>441</v>
      </c>
      <c r="C117" s="14"/>
      <c r="D117" s="4"/>
      <c r="E117" s="61" t="str">
        <f t="shared" si="6"/>
        <v>5.2.148 - FAO - INTA MBGI Santiago del Estero</v>
      </c>
      <c r="F117" s="61"/>
    </row>
    <row r="118" spans="1:6">
      <c r="A118" s="14" t="s">
        <v>432</v>
      </c>
      <c r="B118" s="14" t="s">
        <v>442</v>
      </c>
      <c r="C118" s="14"/>
      <c r="D118" s="4"/>
      <c r="E118" s="61" t="str">
        <f t="shared" si="6"/>
        <v>5.2.149 - TECHNOSERVE - MOZAMBIQUE -</v>
      </c>
      <c r="F118" s="61"/>
    </row>
    <row r="119" spans="1:6">
      <c r="A119" s="14" t="s">
        <v>433</v>
      </c>
      <c r="B119" s="14" t="s">
        <v>443</v>
      </c>
      <c r="C119" s="14"/>
      <c r="D119" s="4"/>
      <c r="E119" s="61" t="str">
        <f t="shared" si="6"/>
        <v>5.2.150 - ATN/RF 21532 - RG SIST. PRODUCTIVOS</v>
      </c>
      <c r="F119" s="61"/>
    </row>
    <row r="120" spans="1:6">
      <c r="A120" s="14" t="s">
        <v>434</v>
      </c>
      <c r="B120" s="14" t="s">
        <v>444</v>
      </c>
      <c r="C120" s="14"/>
      <c r="D120" s="4"/>
      <c r="E120" s="61" t="str">
        <f t="shared" si="6"/>
        <v>5.2.151 - IICA-F.A.-FIDA Raíces</v>
      </c>
      <c r="F120" s="61"/>
    </row>
    <row r="121" spans="1:6">
      <c r="A121" s="14" t="s">
        <v>445</v>
      </c>
      <c r="B121" s="14" t="s">
        <v>446</v>
      </c>
      <c r="C121" s="14"/>
      <c r="D121" s="4"/>
      <c r="E121" s="61" t="str">
        <f t="shared" si="6"/>
        <v>5.2.152 - INA.SC.LH.PROY.1919 - PROT N° 1919 "UNQ CA 60/25"</v>
      </c>
      <c r="F121" s="61"/>
    </row>
    <row r="122" spans="1:6">
      <c r="A122" s="14" t="s">
        <v>447</v>
      </c>
      <c r="B122" s="14" t="s">
        <v>448</v>
      </c>
      <c r="C122" s="14"/>
      <c r="D122" s="4"/>
      <c r="E122" s="61" t="str">
        <f t="shared" si="6"/>
        <v>5.2.153 - FAO - Lapacho Argentina</v>
      </c>
      <c r="F122" s="61"/>
    </row>
    <row r="123" spans="1:6">
      <c r="A123" s="14" t="s">
        <v>454</v>
      </c>
      <c r="B123" s="14" t="s">
        <v>449</v>
      </c>
      <c r="C123" s="14"/>
      <c r="D123" s="4"/>
      <c r="E123" s="61" t="str">
        <f t="shared" ref="E123:E141" si="8">CONCATENATE(A123," - ",B123)</f>
        <v>5.2.154 - G.M.H. - Gran Chaco Ganadero</v>
      </c>
      <c r="F123" s="61"/>
    </row>
    <row r="124" spans="1:6">
      <c r="A124" s="14" t="s">
        <v>455</v>
      </c>
      <c r="B124" s="14" t="s">
        <v>450</v>
      </c>
      <c r="C124" s="14"/>
      <c r="D124" s="4"/>
      <c r="E124" s="61" t="str">
        <f t="shared" si="8"/>
        <v>5.2.155 - Consultoria PNUD Acceso al Agua en el Gran Chaco</v>
      </c>
      <c r="F124" s="61"/>
    </row>
    <row r="125" spans="1:6">
      <c r="A125" s="14" t="s">
        <v>456</v>
      </c>
      <c r="B125" s="14" t="s">
        <v>451</v>
      </c>
      <c r="C125" s="14"/>
      <c r="D125" s="4"/>
      <c r="E125" s="61" t="str">
        <f t="shared" si="8"/>
        <v>5.2.156 - C/A INTA - Consultoría CIAT - FA</v>
      </c>
      <c r="F125" s="61"/>
    </row>
    <row r="126" spans="1:6">
      <c r="A126" s="14" t="s">
        <v>457</v>
      </c>
      <c r="B126" s="14" t="s">
        <v>452</v>
      </c>
      <c r="C126" s="14"/>
      <c r="D126" s="4"/>
      <c r="E126" s="61" t="str">
        <f t="shared" si="8"/>
        <v>5.2.157 - FAO - CDA MBGI Quimili</v>
      </c>
      <c r="F126" s="61"/>
    </row>
    <row r="127" spans="1:6">
      <c r="A127" s="14" t="s">
        <v>458</v>
      </c>
      <c r="B127" s="14" t="s">
        <v>453</v>
      </c>
      <c r="C127" s="14"/>
      <c r="D127" s="4"/>
      <c r="E127" s="61" t="str">
        <f t="shared" si="8"/>
        <v>5.2.158 - FAO - CDA MBGI INTA Chubut</v>
      </c>
      <c r="F127" s="61"/>
    </row>
    <row r="128" spans="1:6">
      <c r="A128" s="14" t="s">
        <v>473</v>
      </c>
      <c r="B128" s="14" t="s">
        <v>459</v>
      </c>
      <c r="C128" s="14"/>
      <c r="D128" s="4"/>
      <c r="E128" s="61" t="str">
        <f t="shared" si="8"/>
        <v>5.2.159 - FAO - CDA MBGI RIO 01 y 03-La Rioja</v>
      </c>
      <c r="F128" s="61"/>
    </row>
    <row r="129" spans="1:6">
      <c r="A129" s="14" t="s">
        <v>474</v>
      </c>
      <c r="B129" s="14" t="s">
        <v>460</v>
      </c>
      <c r="C129" s="14"/>
      <c r="D129" s="4"/>
      <c r="E129" s="61" t="str">
        <f t="shared" si="8"/>
        <v>5.2.160 - FAO - CDA MBGI RIO 02 -La Rioja</v>
      </c>
      <c r="F129" s="61"/>
    </row>
    <row r="130" spans="1:6">
      <c r="A130" s="14" t="s">
        <v>475</v>
      </c>
      <c r="B130" s="14" t="s">
        <v>461</v>
      </c>
      <c r="C130" s="14"/>
      <c r="D130" s="4"/>
      <c r="E130" s="61" t="str">
        <f t="shared" si="8"/>
        <v>5.2.161 - FAO - CDA PIC INTA Tucumán - Los Sotelo</v>
      </c>
      <c r="F130" s="61"/>
    </row>
    <row r="131" spans="1:6">
      <c r="A131" s="14" t="s">
        <v>476</v>
      </c>
      <c r="B131" s="14" t="s">
        <v>462</v>
      </c>
      <c r="C131" s="14"/>
      <c r="D131" s="4"/>
      <c r="E131" s="61" t="str">
        <f t="shared" si="8"/>
        <v>5.2.162 - FAO - CDA PIC INTA SdE-Algarrobales</v>
      </c>
      <c r="F131" s="61"/>
    </row>
    <row r="132" spans="1:6">
      <c r="A132" s="14" t="s">
        <v>477</v>
      </c>
      <c r="B132" s="14" t="s">
        <v>463</v>
      </c>
      <c r="C132" s="14"/>
      <c r="D132" s="4"/>
      <c r="E132" s="61" t="str">
        <f t="shared" si="8"/>
        <v>5.2.163 - 10.INA.SC.LH.PROY.1925</v>
      </c>
      <c r="F132" s="61"/>
    </row>
    <row r="133" spans="1:6">
      <c r="A133" s="14" t="s">
        <v>478</v>
      </c>
      <c r="B133" s="14" t="s">
        <v>464</v>
      </c>
      <c r="C133" s="14"/>
      <c r="D133" s="4"/>
      <c r="E133" s="61" t="str">
        <f t="shared" si="8"/>
        <v>5.2.164 - FAO - CDA PIC INTA La Rioja-Ambil</v>
      </c>
      <c r="F133" s="61"/>
    </row>
    <row r="134" spans="1:6">
      <c r="A134" s="14" t="s">
        <v>479</v>
      </c>
      <c r="B134" s="14" t="s">
        <v>465</v>
      </c>
      <c r="C134" s="14"/>
      <c r="D134" s="4"/>
      <c r="E134" s="61" t="str">
        <f t="shared" si="8"/>
        <v>5.2.165 - FAO - CDA PIC INTA La Rioja-La Aguadita</v>
      </c>
      <c r="F134" s="61"/>
    </row>
    <row r="135" spans="1:6">
      <c r="A135" s="14" t="s">
        <v>480</v>
      </c>
      <c r="B135" s="14" t="s">
        <v>466</v>
      </c>
      <c r="C135" s="14"/>
      <c r="D135" s="4"/>
      <c r="E135" s="61" t="str">
        <f t="shared" si="8"/>
        <v>5.2.166 - CDA PIC INTA La Rioja - Los Bordos</v>
      </c>
      <c r="F135" s="61"/>
    </row>
    <row r="136" spans="1:6">
      <c r="A136" s="14" t="s">
        <v>481</v>
      </c>
      <c r="B136" s="14" t="s">
        <v>467</v>
      </c>
      <c r="C136" s="14"/>
      <c r="D136" s="4"/>
      <c r="E136" s="61" t="str">
        <f t="shared" si="8"/>
        <v>5.2.167 - CDA PIC INTA Chubut - Lago Rosario y Sierra Colorada</v>
      </c>
      <c r="F136" s="61"/>
    </row>
    <row r="137" spans="1:6">
      <c r="A137" s="14" t="s">
        <v>482</v>
      </c>
      <c r="B137" s="14" t="s">
        <v>468</v>
      </c>
      <c r="C137" s="14"/>
      <c r="D137" s="4"/>
      <c r="E137" s="61" t="str">
        <f t="shared" si="8"/>
        <v>5.2.168 - CDA PIC INTA La Rioja - La Cortada</v>
      </c>
      <c r="F137" s="61"/>
    </row>
    <row r="138" spans="1:6">
      <c r="A138" s="14" t="s">
        <v>483</v>
      </c>
      <c r="B138" s="14" t="s">
        <v>469</v>
      </c>
      <c r="C138" s="14"/>
      <c r="D138" s="4"/>
      <c r="E138" s="61" t="str">
        <f t="shared" si="8"/>
        <v>5.2.169 - CDA PIC INTA Santiago del Estero- Santo Domingo PIC SDE 048</v>
      </c>
      <c r="F138" s="61"/>
    </row>
    <row r="139" spans="1:6">
      <c r="A139" s="14" t="s">
        <v>484</v>
      </c>
      <c r="B139" s="14" t="s">
        <v>470</v>
      </c>
      <c r="C139" s="14"/>
      <c r="D139" s="4"/>
      <c r="E139" s="61" t="str">
        <f t="shared" si="8"/>
        <v>5.2.170 - CDA PIC INTA Sgo. del Estero- El Hoyo</v>
      </c>
      <c r="F139" s="61"/>
    </row>
    <row r="140" spans="1:6">
      <c r="A140" s="14" t="s">
        <v>485</v>
      </c>
      <c r="B140" s="14" t="s">
        <v>471</v>
      </c>
      <c r="C140" s="14"/>
      <c r="D140" s="4"/>
      <c r="E140" s="61" t="str">
        <f t="shared" si="8"/>
        <v>5.2.171 - CDA PIC INTA Santiago del Estero- San Francisco</v>
      </c>
      <c r="F140" s="61"/>
    </row>
    <row r="141" spans="1:6">
      <c r="A141" s="14" t="s">
        <v>486</v>
      </c>
      <c r="B141" s="14" t="s">
        <v>472</v>
      </c>
      <c r="C141" s="14"/>
      <c r="D141" s="4"/>
      <c r="E141" s="61" t="str">
        <f t="shared" si="8"/>
        <v>5.2.172 - CDA PIC INTA Chubut - El Turbio</v>
      </c>
      <c r="F141" s="61"/>
    </row>
  </sheetData>
  <sheetProtection algorithmName="SHA-512" hashValue="9mACVPyYwoJNAarUGJO5lZ4KLQT+Ri8jw13B2dAf2qLuAbQ9YgnpWhR8Phx/HEoHYDXvA21qsLsVQYz3ExaaXA==" saltValue="VKfXuQT1wHhwmPCGAPtKXg==" spinCount="100000"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P57"/>
  <sheetViews>
    <sheetView workbookViewId="0">
      <pane ySplit="1" topLeftCell="A3" activePane="bottomLeft" state="frozen"/>
      <selection pane="bottomLeft" activeCell="E10" sqref="E10:H11"/>
    </sheetView>
  </sheetViews>
  <sheetFormatPr baseColWidth="10" defaultRowHeight="15"/>
  <cols>
    <col min="1" max="16" width="11.7109375" customWidth="1"/>
  </cols>
  <sheetData>
    <row r="1" spans="1:16" ht="18.75">
      <c r="A1" s="100" t="s">
        <v>207</v>
      </c>
      <c r="B1" s="100"/>
      <c r="C1" s="100"/>
      <c r="D1" s="101"/>
      <c r="E1" s="102" t="s">
        <v>227</v>
      </c>
      <c r="F1" s="100"/>
      <c r="G1" s="100"/>
      <c r="H1" s="101"/>
      <c r="I1" s="102" t="s">
        <v>208</v>
      </c>
      <c r="J1" s="100"/>
      <c r="K1" s="100"/>
      <c r="L1" s="101"/>
      <c r="M1" s="102" t="s">
        <v>209</v>
      </c>
      <c r="N1" s="100"/>
      <c r="O1" s="100"/>
      <c r="P1" s="101"/>
    </row>
    <row r="2" spans="1:16">
      <c r="A2" s="1"/>
      <c r="B2" s="1"/>
      <c r="C2" s="1"/>
      <c r="D2" s="8"/>
      <c r="E2" s="1"/>
      <c r="F2" s="1"/>
      <c r="G2" s="1"/>
      <c r="H2" s="8"/>
      <c r="I2" s="1"/>
      <c r="J2" s="1"/>
      <c r="K2" s="1"/>
      <c r="L2" s="8"/>
      <c r="M2" s="1"/>
      <c r="N2" s="1"/>
      <c r="O2" s="1"/>
      <c r="P2" s="8"/>
    </row>
    <row r="3" spans="1:16" ht="78" customHeight="1">
      <c r="A3" s="106" t="s">
        <v>224</v>
      </c>
      <c r="B3" s="106"/>
      <c r="C3" s="106"/>
      <c r="D3" s="107"/>
      <c r="E3" s="106" t="s">
        <v>224</v>
      </c>
      <c r="F3" s="106"/>
      <c r="G3" s="106"/>
      <c r="H3" s="107"/>
      <c r="I3" s="106" t="s">
        <v>224</v>
      </c>
      <c r="J3" s="106"/>
      <c r="K3" s="106"/>
      <c r="L3" s="107"/>
      <c r="M3" s="106" t="s">
        <v>224</v>
      </c>
      <c r="N3" s="106"/>
      <c r="O3" s="106"/>
      <c r="P3" s="107"/>
    </row>
    <row r="4" spans="1:16">
      <c r="A4" s="1"/>
      <c r="B4" s="1"/>
      <c r="C4" s="1"/>
      <c r="D4" s="8"/>
      <c r="E4" s="1"/>
      <c r="F4" s="1"/>
      <c r="G4" s="1"/>
      <c r="H4" s="8"/>
      <c r="I4" s="1"/>
      <c r="J4" s="1"/>
      <c r="K4" s="1"/>
      <c r="L4" s="8"/>
      <c r="M4" s="1"/>
      <c r="N4" s="1"/>
      <c r="O4" s="1"/>
      <c r="P4" s="8"/>
    </row>
    <row r="5" spans="1:16">
      <c r="A5" s="1" t="s">
        <v>210</v>
      </c>
      <c r="B5" s="1"/>
      <c r="C5" s="1"/>
      <c r="D5" s="8"/>
      <c r="E5" s="103" t="s">
        <v>214</v>
      </c>
      <c r="F5" s="104"/>
      <c r="G5" s="104"/>
      <c r="H5" s="105"/>
      <c r="I5" s="1" t="s">
        <v>217</v>
      </c>
      <c r="J5" s="1"/>
      <c r="K5" s="1"/>
      <c r="L5" s="8"/>
      <c r="M5" s="103" t="s">
        <v>214</v>
      </c>
      <c r="N5" s="104"/>
      <c r="O5" s="104"/>
      <c r="P5" s="105"/>
    </row>
    <row r="6" spans="1:16" ht="44.25" customHeight="1">
      <c r="A6" s="91" t="s">
        <v>211</v>
      </c>
      <c r="B6" s="91"/>
      <c r="C6" s="91"/>
      <c r="D6" s="92"/>
      <c r="E6" s="93" t="s">
        <v>225</v>
      </c>
      <c r="F6" s="94"/>
      <c r="G6" s="94"/>
      <c r="H6" s="95"/>
      <c r="I6" s="93" t="s">
        <v>242</v>
      </c>
      <c r="J6" s="94"/>
      <c r="K6" s="94"/>
      <c r="L6" s="95"/>
      <c r="M6" s="115" t="s">
        <v>219</v>
      </c>
      <c r="N6" s="116"/>
      <c r="O6" s="116"/>
      <c r="P6" s="117"/>
    </row>
    <row r="7" spans="1:16" ht="75.75" customHeight="1">
      <c r="A7" s="91" t="s">
        <v>212</v>
      </c>
      <c r="B7" s="91"/>
      <c r="C7" s="91"/>
      <c r="D7" s="92"/>
      <c r="E7" s="93" t="s">
        <v>215</v>
      </c>
      <c r="F7" s="94"/>
      <c r="G7" s="94"/>
      <c r="H7" s="95"/>
      <c r="I7" s="93"/>
      <c r="J7" s="94"/>
      <c r="K7" s="94"/>
      <c r="L7" s="95"/>
      <c r="M7" s="93" t="s">
        <v>220</v>
      </c>
      <c r="N7" s="94"/>
      <c r="O7" s="94"/>
      <c r="P7" s="95"/>
    </row>
    <row r="8" spans="1:16" ht="30" customHeight="1">
      <c r="A8" s="94" t="s">
        <v>228</v>
      </c>
      <c r="B8" s="94"/>
      <c r="C8" s="94"/>
      <c r="D8" s="95"/>
      <c r="E8" s="108" t="s">
        <v>222</v>
      </c>
      <c r="F8" s="109"/>
      <c r="G8" s="109"/>
      <c r="H8" s="110"/>
      <c r="I8" s="93"/>
      <c r="J8" s="94"/>
      <c r="K8" s="94"/>
      <c r="L8" s="95"/>
      <c r="M8" s="108" t="s">
        <v>229</v>
      </c>
      <c r="N8" s="109"/>
      <c r="O8" s="109"/>
      <c r="P8" s="110"/>
    </row>
    <row r="9" spans="1:16" ht="76.5" customHeight="1">
      <c r="A9" s="111" t="s">
        <v>213</v>
      </c>
      <c r="B9" s="111"/>
      <c r="C9" s="111"/>
      <c r="D9" s="112"/>
      <c r="E9" s="108"/>
      <c r="F9" s="109"/>
      <c r="G9" s="109"/>
      <c r="H9" s="110"/>
      <c r="I9" s="93" t="s">
        <v>218</v>
      </c>
      <c r="J9" s="94"/>
      <c r="K9" s="94"/>
      <c r="L9" s="95"/>
      <c r="M9" s="108" t="s">
        <v>223</v>
      </c>
      <c r="N9" s="109"/>
      <c r="O9" s="109"/>
      <c r="P9" s="110"/>
    </row>
    <row r="10" spans="1:16" ht="15" customHeight="1">
      <c r="A10" s="109" t="s">
        <v>221</v>
      </c>
      <c r="B10" s="109"/>
      <c r="C10" s="109"/>
      <c r="D10" s="110"/>
      <c r="E10" s="115" t="s">
        <v>226</v>
      </c>
      <c r="F10" s="116"/>
      <c r="G10" s="116"/>
      <c r="H10" s="117"/>
      <c r="I10" s="1"/>
      <c r="J10" s="1"/>
      <c r="K10" s="1"/>
      <c r="L10" s="8"/>
      <c r="M10" s="108"/>
      <c r="N10" s="109"/>
      <c r="O10" s="109"/>
      <c r="P10" s="110"/>
    </row>
    <row r="11" spans="1:16" ht="90" customHeight="1">
      <c r="A11" s="109"/>
      <c r="B11" s="109"/>
      <c r="C11" s="109"/>
      <c r="D11" s="110"/>
      <c r="E11" s="115"/>
      <c r="F11" s="116"/>
      <c r="G11" s="116"/>
      <c r="H11" s="117"/>
      <c r="I11" s="113" t="s">
        <v>221</v>
      </c>
      <c r="J11" s="113"/>
      <c r="K11" s="113"/>
      <c r="L11" s="114"/>
      <c r="M11" s="96" t="s">
        <v>230</v>
      </c>
      <c r="N11" s="91"/>
      <c r="O11" s="91"/>
      <c r="P11" s="92"/>
    </row>
    <row r="12" spans="1:16" ht="15" customHeight="1">
      <c r="A12" s="94" t="s">
        <v>240</v>
      </c>
      <c r="B12" s="94"/>
      <c r="C12" s="94"/>
      <c r="D12" s="95"/>
      <c r="E12" s="1"/>
      <c r="F12" s="1"/>
      <c r="G12" s="1"/>
      <c r="H12" s="8"/>
      <c r="I12" s="1"/>
      <c r="J12" s="1"/>
      <c r="K12" s="1"/>
      <c r="L12" s="8"/>
      <c r="M12" s="93" t="s">
        <v>231</v>
      </c>
      <c r="N12" s="94"/>
      <c r="O12" s="94"/>
      <c r="P12" s="95"/>
    </row>
    <row r="13" spans="1:16" ht="132" customHeight="1" thickBot="1">
      <c r="A13" s="98"/>
      <c r="B13" s="98"/>
      <c r="C13" s="98"/>
      <c r="D13" s="99"/>
      <c r="E13" s="115" t="s">
        <v>241</v>
      </c>
      <c r="F13" s="116"/>
      <c r="G13" s="116"/>
      <c r="H13" s="117"/>
      <c r="I13" s="94" t="s">
        <v>243</v>
      </c>
      <c r="J13" s="94"/>
      <c r="K13" s="94"/>
      <c r="L13" s="95"/>
      <c r="M13" s="93"/>
      <c r="N13" s="94"/>
      <c r="O13" s="94"/>
      <c r="P13" s="95"/>
    </row>
    <row r="14" spans="1:16" ht="48" customHeight="1" thickTop="1">
      <c r="A14" s="9"/>
      <c r="B14" s="9"/>
      <c r="C14" s="9"/>
      <c r="D14" s="10"/>
      <c r="E14" s="115"/>
      <c r="F14" s="116"/>
      <c r="G14" s="116"/>
      <c r="H14" s="117"/>
      <c r="I14" s="93" t="s">
        <v>244</v>
      </c>
      <c r="J14" s="94"/>
      <c r="K14" s="94"/>
      <c r="L14" s="95"/>
      <c r="M14" s="93"/>
      <c r="N14" s="94"/>
      <c r="O14" s="94"/>
      <c r="P14" s="95"/>
    </row>
    <row r="15" spans="1:16" ht="150" customHeight="1" thickBot="1">
      <c r="A15" s="121"/>
      <c r="B15" s="121"/>
      <c r="C15" s="121"/>
      <c r="D15" s="122"/>
      <c r="E15" s="115"/>
      <c r="F15" s="116"/>
      <c r="G15" s="116"/>
      <c r="H15" s="117"/>
      <c r="I15" s="97"/>
      <c r="J15" s="98"/>
      <c r="K15" s="98"/>
      <c r="L15" s="99"/>
      <c r="M15" s="115" t="s">
        <v>232</v>
      </c>
      <c r="N15" s="116"/>
      <c r="O15" s="116"/>
      <c r="P15" s="117"/>
    </row>
    <row r="16" spans="1:16" ht="45" customHeight="1" thickTop="1" thickBot="1">
      <c r="A16" s="11"/>
      <c r="B16" s="11"/>
      <c r="C16" s="11"/>
      <c r="D16" s="12"/>
      <c r="E16" s="118"/>
      <c r="F16" s="119"/>
      <c r="G16" s="119"/>
      <c r="H16" s="120"/>
      <c r="I16" s="96"/>
      <c r="J16" s="91"/>
      <c r="K16" s="91"/>
      <c r="L16" s="92"/>
      <c r="M16" s="115" t="s">
        <v>235</v>
      </c>
      <c r="N16" s="116"/>
      <c r="O16" s="116"/>
      <c r="P16" s="117"/>
    </row>
    <row r="17" spans="1:16" ht="33.75" customHeight="1" thickTop="1">
      <c r="A17" s="1"/>
      <c r="B17" s="1"/>
      <c r="C17" s="1"/>
      <c r="D17" s="1"/>
      <c r="E17" s="1"/>
      <c r="F17" s="1"/>
      <c r="G17" s="1"/>
      <c r="H17" s="1"/>
      <c r="I17" s="94"/>
      <c r="J17" s="94"/>
      <c r="K17" s="94"/>
      <c r="L17" s="95"/>
      <c r="M17" s="93" t="s">
        <v>236</v>
      </c>
      <c r="N17" s="94"/>
      <c r="O17" s="94"/>
      <c r="P17" s="95"/>
    </row>
    <row r="18" spans="1:16">
      <c r="A18" s="1"/>
      <c r="B18" s="1"/>
      <c r="C18" s="1"/>
      <c r="D18" s="1"/>
      <c r="E18" s="1"/>
      <c r="F18" s="1"/>
      <c r="G18" s="1"/>
      <c r="H18" s="1"/>
      <c r="I18" s="1"/>
      <c r="J18" s="1"/>
      <c r="K18" s="1"/>
      <c r="L18" s="8"/>
      <c r="M18" s="1" t="s">
        <v>237</v>
      </c>
      <c r="N18" s="1"/>
      <c r="O18" s="1"/>
      <c r="P18" s="8"/>
    </row>
    <row r="19" spans="1:16" ht="31.5" customHeight="1">
      <c r="A19" s="1"/>
      <c r="B19" s="1"/>
      <c r="C19" s="1"/>
      <c r="D19" s="1"/>
      <c r="E19" s="1"/>
      <c r="F19" s="1"/>
      <c r="G19" s="1"/>
      <c r="H19" s="1"/>
      <c r="I19" s="91"/>
      <c r="J19" s="91"/>
      <c r="K19" s="91"/>
      <c r="L19" s="92"/>
      <c r="M19" s="96" t="s">
        <v>238</v>
      </c>
      <c r="N19" s="91"/>
      <c r="O19" s="91"/>
      <c r="P19" s="92"/>
    </row>
    <row r="20" spans="1:16" ht="45.75" customHeight="1" thickBot="1">
      <c r="A20" s="1"/>
      <c r="B20" s="1"/>
      <c r="C20" s="1"/>
      <c r="D20" s="1"/>
      <c r="E20" s="1"/>
      <c r="F20" s="1"/>
      <c r="G20" s="1"/>
      <c r="H20" s="1"/>
      <c r="I20" s="91"/>
      <c r="J20" s="91"/>
      <c r="K20" s="91"/>
      <c r="L20" s="92"/>
      <c r="M20" s="97" t="s">
        <v>239</v>
      </c>
      <c r="N20" s="98"/>
      <c r="O20" s="98"/>
      <c r="P20" s="99"/>
    </row>
    <row r="21" spans="1:16" ht="15.75" thickTop="1">
      <c r="A21" s="1"/>
      <c r="B21" s="1"/>
      <c r="C21" s="1"/>
      <c r="D21" s="1"/>
      <c r="E21" s="1"/>
      <c r="F21" s="1"/>
      <c r="G21" s="1"/>
      <c r="H21" s="1"/>
      <c r="I21" s="1"/>
      <c r="J21" s="1"/>
      <c r="K21" s="1"/>
      <c r="L21" s="1"/>
      <c r="M21" s="13"/>
      <c r="N21" s="13"/>
      <c r="O21" s="13"/>
      <c r="P21" s="13"/>
    </row>
    <row r="22" spans="1:16">
      <c r="A22" s="1"/>
      <c r="B22" s="1"/>
      <c r="C22" s="1"/>
      <c r="D22" s="1"/>
      <c r="E22" s="1"/>
      <c r="F22" s="1"/>
      <c r="G22" s="1"/>
      <c r="H22" s="1"/>
      <c r="I22" s="1"/>
      <c r="J22" s="1"/>
      <c r="K22" s="1"/>
      <c r="L22" s="1"/>
      <c r="M22" s="1"/>
      <c r="N22" s="1"/>
      <c r="O22" s="1"/>
      <c r="P22" s="1"/>
    </row>
    <row r="23" spans="1:16">
      <c r="A23" s="1"/>
      <c r="B23" s="1"/>
      <c r="C23" s="1"/>
      <c r="D23" s="1"/>
      <c r="E23" s="1"/>
      <c r="F23" s="1"/>
      <c r="G23" s="1"/>
      <c r="H23" s="1"/>
      <c r="I23" s="1"/>
      <c r="J23" s="1"/>
      <c r="K23" s="1"/>
      <c r="L23" s="1"/>
      <c r="M23" s="1"/>
      <c r="N23" s="1"/>
      <c r="O23" s="1"/>
      <c r="P23" s="1"/>
    </row>
    <row r="24" spans="1:16">
      <c r="A24" s="1"/>
      <c r="B24" s="1"/>
      <c r="C24" s="1"/>
      <c r="D24" s="1"/>
      <c r="E24" s="1"/>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1"/>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c r="B43" s="1"/>
      <c r="C43" s="1"/>
      <c r="D43" s="1"/>
      <c r="E43" s="1"/>
      <c r="F43" s="1"/>
      <c r="G43" s="1"/>
      <c r="H43" s="1"/>
      <c r="I43" s="1"/>
      <c r="J43" s="1"/>
      <c r="K43" s="1"/>
      <c r="L43" s="1"/>
      <c r="M43" s="1"/>
      <c r="N43" s="1"/>
      <c r="O43" s="1"/>
      <c r="P43" s="1"/>
    </row>
    <row r="44" spans="1:16">
      <c r="A44" s="1"/>
      <c r="B44" s="1"/>
      <c r="C44" s="1"/>
      <c r="D44" s="1"/>
      <c r="E44" s="1"/>
      <c r="F44" s="1"/>
      <c r="G44" s="1"/>
      <c r="H44" s="1"/>
      <c r="I44" s="1"/>
      <c r="J44" s="1"/>
      <c r="K44" s="1"/>
      <c r="L44" s="1"/>
      <c r="M44" s="1"/>
      <c r="N44" s="1"/>
      <c r="O44" s="1"/>
      <c r="P44" s="1"/>
    </row>
    <row r="45" spans="1:16">
      <c r="A45" s="1"/>
      <c r="B45" s="1"/>
      <c r="C45" s="1"/>
      <c r="D45" s="1"/>
      <c r="E45" s="1"/>
      <c r="F45" s="1"/>
      <c r="G45" s="1"/>
      <c r="H45" s="1"/>
      <c r="I45" s="1"/>
      <c r="J45" s="1"/>
      <c r="K45" s="1"/>
      <c r="L45" s="1"/>
      <c r="M45" s="1"/>
      <c r="N45" s="1"/>
      <c r="O45" s="1"/>
      <c r="P45" s="1"/>
    </row>
    <row r="46" spans="1:16">
      <c r="A46" s="1"/>
      <c r="B46" s="1"/>
      <c r="C46" s="1"/>
      <c r="D46" s="1"/>
      <c r="E46" s="1"/>
      <c r="F46" s="1"/>
      <c r="G46" s="1"/>
      <c r="H46" s="1"/>
      <c r="I46" s="1"/>
      <c r="J46" s="1"/>
      <c r="K46" s="1"/>
      <c r="L46" s="1"/>
      <c r="M46" s="1"/>
      <c r="N46" s="1"/>
      <c r="O46" s="1"/>
      <c r="P46" s="1"/>
    </row>
    <row r="47" spans="1:16">
      <c r="A47" s="1"/>
      <c r="B47" s="1"/>
      <c r="C47" s="1"/>
      <c r="D47" s="1"/>
      <c r="E47" s="1"/>
      <c r="F47" s="1"/>
      <c r="G47" s="1"/>
      <c r="H47" s="1"/>
      <c r="I47" s="1"/>
      <c r="J47" s="1"/>
      <c r="K47" s="1"/>
      <c r="L47" s="1"/>
      <c r="M47" s="1"/>
      <c r="N47" s="1"/>
      <c r="O47" s="1"/>
      <c r="P47" s="1"/>
    </row>
    <row r="48" spans="1:16">
      <c r="A48" s="1"/>
      <c r="B48" s="1"/>
      <c r="C48" s="1"/>
      <c r="D48" s="1"/>
      <c r="E48" s="1"/>
      <c r="F48" s="1"/>
      <c r="G48" s="1"/>
      <c r="H48" s="1"/>
      <c r="I48" s="1"/>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row>
    <row r="53" spans="1:16">
      <c r="A53" s="1"/>
      <c r="B53" s="1"/>
      <c r="C53" s="1"/>
      <c r="D53" s="1"/>
      <c r="E53" s="1"/>
      <c r="F53" s="1"/>
      <c r="G53" s="1"/>
      <c r="H53" s="1"/>
    </row>
    <row r="54" spans="1:16">
      <c r="A54" s="1"/>
      <c r="B54" s="1"/>
      <c r="C54" s="1"/>
      <c r="D54" s="1"/>
      <c r="E54" s="1"/>
      <c r="F54" s="1"/>
      <c r="G54" s="1"/>
      <c r="H54" s="1"/>
    </row>
    <row r="55" spans="1:16">
      <c r="A55" s="1"/>
      <c r="B55" s="1"/>
      <c r="C55" s="1"/>
      <c r="D55" s="1"/>
      <c r="E55" s="1"/>
      <c r="F55" s="1"/>
      <c r="G55" s="1"/>
      <c r="H55" s="1"/>
    </row>
    <row r="56" spans="1:16">
      <c r="A56" s="1"/>
      <c r="B56" s="1"/>
      <c r="C56" s="1"/>
      <c r="D56" s="1"/>
      <c r="E56" s="1"/>
      <c r="F56" s="1"/>
      <c r="G56" s="1"/>
      <c r="H56" s="1"/>
    </row>
    <row r="57" spans="1:16">
      <c r="A57" s="1"/>
      <c r="B57" s="1"/>
      <c r="C57" s="1"/>
      <c r="D57" s="1"/>
    </row>
  </sheetData>
  <sheetProtection algorithmName="SHA-512" hashValue="/qize5JcN/fNTydTDg8HZil3bajSp1K+BoWQzN94DPzXP/v5yOMf9sYHO4o6T1iAAwV+3C4ts2imblvLZVzQYw==" saltValue="2jCKBNoj0GTpiqY058o3Hg==" spinCount="100000" sheet="1" objects="1" scenarios="1"/>
  <mergeCells count="42">
    <mergeCell ref="E13:H16"/>
    <mergeCell ref="I14:L15"/>
    <mergeCell ref="I16:L16"/>
    <mergeCell ref="M16:P16"/>
    <mergeCell ref="A10:D11"/>
    <mergeCell ref="A12:D13"/>
    <mergeCell ref="A15:D15"/>
    <mergeCell ref="M15:P15"/>
    <mergeCell ref="I13:L13"/>
    <mergeCell ref="M12:P14"/>
    <mergeCell ref="M11:P11"/>
    <mergeCell ref="M5:P5"/>
    <mergeCell ref="M9:P10"/>
    <mergeCell ref="I11:L11"/>
    <mergeCell ref="E10:H11"/>
    <mergeCell ref="M1:P1"/>
    <mergeCell ref="M8:P8"/>
    <mergeCell ref="M3:P3"/>
    <mergeCell ref="M6:P6"/>
    <mergeCell ref="M7:P7"/>
    <mergeCell ref="A1:D1"/>
    <mergeCell ref="E1:H1"/>
    <mergeCell ref="I1:L1"/>
    <mergeCell ref="E6:H6"/>
    <mergeCell ref="E5:H5"/>
    <mergeCell ref="I6:L8"/>
    <mergeCell ref="A3:D3"/>
    <mergeCell ref="A8:D8"/>
    <mergeCell ref="E7:H7"/>
    <mergeCell ref="E8:H9"/>
    <mergeCell ref="I9:L9"/>
    <mergeCell ref="E3:H3"/>
    <mergeCell ref="I3:L3"/>
    <mergeCell ref="A9:D9"/>
    <mergeCell ref="A6:D6"/>
    <mergeCell ref="A7:D7"/>
    <mergeCell ref="I19:L19"/>
    <mergeCell ref="I20:L20"/>
    <mergeCell ref="M17:P17"/>
    <mergeCell ref="M19:P19"/>
    <mergeCell ref="M20:P20"/>
    <mergeCell ref="I17:L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2"/>
  <sheetViews>
    <sheetView topLeftCell="A10" workbookViewId="0">
      <selection activeCell="P35" sqref="P35"/>
    </sheetView>
  </sheetViews>
  <sheetFormatPr baseColWidth="10" defaultColWidth="9.140625" defaultRowHeight="15"/>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ht="15.75" thickBot="1">
      <c r="A5" s="1"/>
      <c r="B5" s="1"/>
      <c r="C5" s="1"/>
      <c r="D5" s="1"/>
      <c r="E5" s="1"/>
      <c r="F5" s="1"/>
      <c r="G5" s="1"/>
      <c r="H5" s="1"/>
      <c r="I5" s="1"/>
      <c r="J5" s="1"/>
      <c r="K5" s="1"/>
      <c r="L5" s="1"/>
      <c r="M5" s="1"/>
    </row>
    <row r="6" spans="1:13" ht="24" thickBot="1">
      <c r="A6" s="135" t="s">
        <v>288</v>
      </c>
      <c r="B6" s="136"/>
      <c r="C6" s="136"/>
      <c r="D6" s="136"/>
      <c r="E6" s="136"/>
      <c r="F6" s="136"/>
      <c r="G6" s="136"/>
      <c r="H6" s="136"/>
      <c r="I6" s="136"/>
      <c r="J6" s="136"/>
      <c r="K6" s="136"/>
      <c r="L6" s="136"/>
      <c r="M6" s="137"/>
    </row>
    <row r="7" spans="1:13">
      <c r="A7" s="1"/>
      <c r="B7" s="1"/>
      <c r="C7" s="1"/>
      <c r="D7" s="1"/>
      <c r="E7" s="1"/>
      <c r="F7" s="1"/>
      <c r="G7" s="1"/>
      <c r="H7" s="1"/>
      <c r="I7" s="1"/>
      <c r="J7" s="1"/>
      <c r="K7" s="1"/>
      <c r="L7" s="1"/>
      <c r="M7" s="1"/>
    </row>
    <row r="8" spans="1:13">
      <c r="A8" s="1"/>
      <c r="B8" s="1"/>
      <c r="C8" s="1"/>
      <c r="D8" s="1"/>
      <c r="E8" s="1"/>
      <c r="F8" s="1"/>
      <c r="G8" s="1"/>
      <c r="H8" s="1"/>
      <c r="I8" s="1"/>
      <c r="J8" s="1"/>
      <c r="K8" s="1"/>
      <c r="L8" s="1"/>
      <c r="M8" s="1"/>
    </row>
    <row r="9" spans="1:13">
      <c r="A9" s="1"/>
      <c r="B9" s="1"/>
      <c r="C9" s="1"/>
      <c r="D9" s="1"/>
      <c r="E9" s="1"/>
      <c r="F9" s="1"/>
      <c r="G9" s="1"/>
      <c r="H9" s="1"/>
      <c r="I9" s="1"/>
      <c r="J9" s="1"/>
      <c r="K9" s="1"/>
      <c r="L9" s="1"/>
      <c r="M9" s="1"/>
    </row>
    <row r="10" spans="1:13">
      <c r="A10" s="1" t="s">
        <v>289</v>
      </c>
      <c r="B10" s="1"/>
      <c r="C10" s="1"/>
      <c r="D10" s="1"/>
      <c r="E10" s="1"/>
      <c r="F10" s="1"/>
      <c r="G10" s="1"/>
      <c r="H10" s="1"/>
      <c r="I10" s="1"/>
      <c r="J10" s="1"/>
      <c r="K10" s="1"/>
      <c r="L10" s="1"/>
      <c r="M10" s="1"/>
    </row>
    <row r="11" spans="1:13">
      <c r="A11" s="1"/>
      <c r="B11" s="1"/>
      <c r="C11" s="1"/>
      <c r="D11" s="1"/>
      <c r="E11" s="1"/>
      <c r="F11" s="1"/>
      <c r="G11" s="1"/>
      <c r="H11" s="1"/>
      <c r="I11" s="1"/>
      <c r="J11" s="1"/>
      <c r="K11" s="1"/>
      <c r="L11" s="1"/>
      <c r="M11" s="1"/>
    </row>
    <row r="12" spans="1:13">
      <c r="A12" s="123" t="s">
        <v>290</v>
      </c>
      <c r="B12" s="124"/>
      <c r="C12" s="124"/>
      <c r="D12" s="125"/>
      <c r="E12" s="138"/>
      <c r="F12" s="139"/>
      <c r="G12" s="139"/>
      <c r="H12" s="139"/>
      <c r="I12" s="139"/>
      <c r="J12" s="139"/>
      <c r="K12" s="139"/>
      <c r="L12" s="139"/>
      <c r="M12" s="140"/>
    </row>
    <row r="13" spans="1:13">
      <c r="A13" s="126"/>
      <c r="B13" s="127"/>
      <c r="C13" s="127"/>
      <c r="D13" s="128"/>
      <c r="E13" s="141"/>
      <c r="F13" s="142"/>
      <c r="G13" s="142"/>
      <c r="H13" s="142"/>
      <c r="I13" s="142"/>
      <c r="J13" s="142"/>
      <c r="K13" s="142"/>
      <c r="L13" s="142"/>
      <c r="M13" s="143"/>
    </row>
    <row r="14" spans="1:13">
      <c r="A14" s="1"/>
      <c r="B14" s="1"/>
      <c r="C14" s="1"/>
      <c r="D14" s="1"/>
      <c r="E14" s="1"/>
      <c r="F14" s="1"/>
      <c r="G14" s="1"/>
      <c r="H14" s="1"/>
      <c r="I14" s="1"/>
      <c r="J14" s="1"/>
      <c r="K14" s="1"/>
      <c r="L14" s="1"/>
      <c r="M14" s="1"/>
    </row>
    <row r="15" spans="1:13">
      <c r="A15" s="144" t="s">
        <v>291</v>
      </c>
      <c r="B15" s="145"/>
      <c r="C15" s="145"/>
      <c r="D15" s="146"/>
      <c r="E15" s="150"/>
      <c r="F15" s="151"/>
      <c r="G15" s="151"/>
      <c r="H15" s="151"/>
      <c r="I15" s="151"/>
      <c r="J15" s="151"/>
      <c r="K15" s="151"/>
      <c r="L15" s="151"/>
      <c r="M15" s="152"/>
    </row>
    <row r="16" spans="1:13">
      <c r="A16" s="147"/>
      <c r="B16" s="148"/>
      <c r="C16" s="148"/>
      <c r="D16" s="149"/>
      <c r="E16" s="153"/>
      <c r="F16" s="154"/>
      <c r="G16" s="154"/>
      <c r="H16" s="154"/>
      <c r="I16" s="154"/>
      <c r="J16" s="154"/>
      <c r="K16" s="154"/>
      <c r="L16" s="154"/>
      <c r="M16" s="155"/>
    </row>
    <row r="17" spans="1:13">
      <c r="A17" s="1"/>
      <c r="B17" s="1"/>
      <c r="C17" s="1"/>
      <c r="D17" s="1"/>
      <c r="E17" s="1"/>
      <c r="F17" s="1"/>
      <c r="G17" s="1"/>
      <c r="H17" s="1"/>
      <c r="I17" s="1"/>
      <c r="J17" s="1"/>
      <c r="K17" s="1"/>
      <c r="L17" s="1"/>
      <c r="M17" s="1"/>
    </row>
    <row r="18" spans="1:13">
      <c r="A18" s="123" t="s">
        <v>292</v>
      </c>
      <c r="B18" s="124"/>
      <c r="C18" s="124"/>
      <c r="D18" s="125"/>
      <c r="E18" s="129"/>
      <c r="F18" s="130"/>
      <c r="G18" s="130"/>
      <c r="H18" s="130"/>
      <c r="I18" s="130"/>
      <c r="J18" s="130"/>
      <c r="K18" s="130"/>
      <c r="L18" s="130"/>
      <c r="M18" s="131"/>
    </row>
    <row r="19" spans="1:13" ht="30" customHeight="1">
      <c r="A19" s="126"/>
      <c r="B19" s="127"/>
      <c r="C19" s="127"/>
      <c r="D19" s="128"/>
      <c r="E19" s="132"/>
      <c r="F19" s="133"/>
      <c r="G19" s="133"/>
      <c r="H19" s="133"/>
      <c r="I19" s="133"/>
      <c r="J19" s="133"/>
      <c r="K19" s="133"/>
      <c r="L19" s="133"/>
      <c r="M19" s="134"/>
    </row>
    <row r="20" spans="1:13">
      <c r="A20" s="1"/>
      <c r="B20" s="1"/>
      <c r="C20" s="1"/>
      <c r="D20" s="1"/>
      <c r="E20" s="1"/>
      <c r="F20" s="1"/>
      <c r="G20" s="1"/>
      <c r="H20" s="1"/>
      <c r="I20" s="1"/>
      <c r="J20" s="1"/>
      <c r="K20" s="1"/>
      <c r="L20" s="1"/>
      <c r="M20" s="1"/>
    </row>
    <row r="21" spans="1:13">
      <c r="A21" s="123" t="s">
        <v>293</v>
      </c>
      <c r="B21" s="124"/>
      <c r="C21" s="124"/>
      <c r="D21" s="125"/>
      <c r="E21" s="129"/>
      <c r="F21" s="130"/>
      <c r="G21" s="130"/>
      <c r="H21" s="130"/>
      <c r="I21" s="130"/>
      <c r="J21" s="130"/>
      <c r="K21" s="130"/>
      <c r="L21" s="130"/>
      <c r="M21" s="131"/>
    </row>
    <row r="22" spans="1:13">
      <c r="A22" s="126"/>
      <c r="B22" s="127"/>
      <c r="C22" s="127"/>
      <c r="D22" s="128"/>
      <c r="E22" s="132"/>
      <c r="F22" s="133"/>
      <c r="G22" s="133"/>
      <c r="H22" s="133"/>
      <c r="I22" s="133"/>
      <c r="J22" s="133"/>
      <c r="K22" s="133"/>
      <c r="L22" s="133"/>
      <c r="M22" s="134"/>
    </row>
    <row r="23" spans="1:13">
      <c r="A23" s="1"/>
      <c r="B23" s="1"/>
      <c r="C23" s="1"/>
      <c r="D23" s="1"/>
      <c r="E23" s="1"/>
      <c r="F23" s="1"/>
      <c r="G23" s="1"/>
      <c r="H23" s="1"/>
      <c r="I23" s="1"/>
      <c r="J23" s="1"/>
      <c r="K23" s="1"/>
      <c r="L23" s="1"/>
      <c r="M23" s="1"/>
    </row>
    <row r="24" spans="1:13">
      <c r="A24" s="123" t="s">
        <v>294</v>
      </c>
      <c r="B24" s="124"/>
      <c r="C24" s="124"/>
      <c r="D24" s="125"/>
      <c r="E24" s="129"/>
      <c r="F24" s="130"/>
      <c r="G24" s="130"/>
      <c r="H24" s="130"/>
      <c r="I24" s="130"/>
      <c r="J24" s="130"/>
      <c r="K24" s="130"/>
      <c r="L24" s="130"/>
      <c r="M24" s="131"/>
    </row>
    <row r="25" spans="1:13">
      <c r="A25" s="126"/>
      <c r="B25" s="127"/>
      <c r="C25" s="127"/>
      <c r="D25" s="128"/>
      <c r="E25" s="132"/>
      <c r="F25" s="133"/>
      <c r="G25" s="133"/>
      <c r="H25" s="133"/>
      <c r="I25" s="133"/>
      <c r="J25" s="133"/>
      <c r="K25" s="133"/>
      <c r="L25" s="133"/>
      <c r="M25" s="134"/>
    </row>
    <row r="26" spans="1:13">
      <c r="A26" s="1"/>
      <c r="B26" s="1"/>
      <c r="C26" s="1"/>
      <c r="D26" s="1"/>
      <c r="E26" s="1"/>
      <c r="F26" s="1"/>
      <c r="G26" s="1"/>
      <c r="H26" s="1"/>
      <c r="I26" s="1"/>
      <c r="J26" s="1"/>
      <c r="K26" s="1"/>
      <c r="L26" s="1"/>
      <c r="M26" s="1"/>
    </row>
    <row r="27" spans="1:13">
      <c r="A27" s="123" t="s">
        <v>295</v>
      </c>
      <c r="B27" s="124"/>
      <c r="C27" s="124"/>
      <c r="D27" s="125"/>
      <c r="E27" s="129"/>
      <c r="F27" s="130"/>
      <c r="G27" s="130"/>
      <c r="H27" s="130"/>
      <c r="I27" s="130"/>
      <c r="J27" s="130"/>
      <c r="K27" s="130"/>
      <c r="L27" s="130"/>
      <c r="M27" s="131"/>
    </row>
    <row r="28" spans="1:13" ht="30" customHeight="1">
      <c r="A28" s="126"/>
      <c r="B28" s="127"/>
      <c r="C28" s="127"/>
      <c r="D28" s="128"/>
      <c r="E28" s="132"/>
      <c r="F28" s="133"/>
      <c r="G28" s="133"/>
      <c r="H28" s="133"/>
      <c r="I28" s="133"/>
      <c r="J28" s="133"/>
      <c r="K28" s="133"/>
      <c r="L28" s="133"/>
      <c r="M28" s="134"/>
    </row>
    <row r="29" spans="1:13">
      <c r="A29" s="1"/>
      <c r="B29" s="1"/>
      <c r="C29" s="1"/>
      <c r="D29" s="1"/>
      <c r="E29" s="1"/>
      <c r="F29" s="1"/>
      <c r="G29" s="1"/>
      <c r="H29" s="1"/>
      <c r="I29" s="1"/>
      <c r="J29" s="1"/>
      <c r="K29" s="1"/>
      <c r="L29" s="1"/>
      <c r="M29" s="1"/>
    </row>
    <row r="30" spans="1:13">
      <c r="A30" s="123" t="s">
        <v>296</v>
      </c>
      <c r="B30" s="124"/>
      <c r="C30" s="124"/>
      <c r="D30" s="125"/>
      <c r="E30" s="129"/>
      <c r="F30" s="130"/>
      <c r="G30" s="130"/>
      <c r="H30" s="130"/>
      <c r="I30" s="130"/>
      <c r="J30" s="130"/>
      <c r="K30" s="130"/>
      <c r="L30" s="130"/>
      <c r="M30" s="131"/>
    </row>
    <row r="31" spans="1:13" ht="29.25" customHeight="1">
      <c r="A31" s="126"/>
      <c r="B31" s="127"/>
      <c r="C31" s="127"/>
      <c r="D31" s="128"/>
      <c r="E31" s="132"/>
      <c r="F31" s="133"/>
      <c r="G31" s="133"/>
      <c r="H31" s="133"/>
      <c r="I31" s="133"/>
      <c r="J31" s="133"/>
      <c r="K31" s="133"/>
      <c r="L31" s="133"/>
      <c r="M31" s="134"/>
    </row>
    <row r="32" spans="1:13">
      <c r="A32" s="1"/>
      <c r="B32" s="1"/>
      <c r="C32" s="1"/>
      <c r="D32" s="1"/>
      <c r="E32" s="1"/>
      <c r="F32" s="1"/>
      <c r="G32" s="1"/>
      <c r="H32" s="1"/>
      <c r="I32" s="1"/>
      <c r="J32" s="1"/>
      <c r="K32" s="1"/>
      <c r="L32" s="1"/>
      <c r="M32" s="1"/>
    </row>
    <row r="33" spans="1:13">
      <c r="A33" s="156" t="s">
        <v>297</v>
      </c>
      <c r="B33" s="157"/>
      <c r="C33" s="157"/>
      <c r="D33" s="158"/>
      <c r="E33" s="159"/>
      <c r="F33" s="160"/>
      <c r="G33" s="160"/>
      <c r="H33" s="160"/>
      <c r="I33" s="160"/>
      <c r="J33" s="160"/>
      <c r="K33" s="160"/>
      <c r="L33" s="160"/>
      <c r="M33" s="161"/>
    </row>
    <row r="34" spans="1:13">
      <c r="A34" s="156" t="s">
        <v>298</v>
      </c>
      <c r="B34" s="157"/>
      <c r="C34" s="157"/>
      <c r="D34" s="158"/>
      <c r="E34" s="159"/>
      <c r="F34" s="160"/>
      <c r="G34" s="160"/>
      <c r="H34" s="160"/>
      <c r="I34" s="160"/>
      <c r="J34" s="160"/>
      <c r="K34" s="160"/>
      <c r="L34" s="160"/>
      <c r="M34" s="161"/>
    </row>
    <row r="35" spans="1:13">
      <c r="A35" s="156" t="s">
        <v>299</v>
      </c>
      <c r="B35" s="157"/>
      <c r="C35" s="157"/>
      <c r="D35" s="158"/>
      <c r="E35" s="159"/>
      <c r="F35" s="160"/>
      <c r="G35" s="160"/>
      <c r="H35" s="160"/>
      <c r="I35" s="160"/>
      <c r="J35" s="160"/>
      <c r="K35" s="160"/>
      <c r="L35" s="160"/>
      <c r="M35" s="161"/>
    </row>
    <row r="36" spans="1:13">
      <c r="A36" s="1"/>
      <c r="B36" s="1"/>
      <c r="C36" s="1"/>
      <c r="D36" s="1"/>
      <c r="E36" s="1"/>
      <c r="F36" s="1"/>
      <c r="G36" s="1"/>
      <c r="H36" s="1"/>
      <c r="I36" s="1"/>
      <c r="J36" s="1"/>
      <c r="K36" s="1"/>
      <c r="L36" s="1"/>
      <c r="M36" s="1"/>
    </row>
    <row r="37" spans="1:13">
      <c r="A37" s="123" t="s">
        <v>300</v>
      </c>
      <c r="B37" s="124"/>
      <c r="C37" s="124"/>
      <c r="D37" s="125"/>
      <c r="E37" s="129"/>
      <c r="F37" s="130"/>
      <c r="G37" s="130"/>
      <c r="H37" s="130"/>
      <c r="I37" s="130"/>
      <c r="J37" s="130"/>
      <c r="K37" s="130"/>
      <c r="L37" s="130"/>
      <c r="M37" s="131"/>
    </row>
    <row r="38" spans="1:13" ht="30" customHeight="1">
      <c r="A38" s="126"/>
      <c r="B38" s="127"/>
      <c r="C38" s="127"/>
      <c r="D38" s="128"/>
      <c r="E38" s="132"/>
      <c r="F38" s="133"/>
      <c r="G38" s="133"/>
      <c r="H38" s="133"/>
      <c r="I38" s="133"/>
      <c r="J38" s="133"/>
      <c r="K38" s="133"/>
      <c r="L38" s="133"/>
      <c r="M38" s="134"/>
    </row>
    <row r="39" spans="1:13">
      <c r="A39" s="1"/>
      <c r="B39" s="1"/>
      <c r="C39" s="1"/>
      <c r="D39" s="1"/>
      <c r="E39" s="1"/>
      <c r="F39" s="1"/>
      <c r="G39" s="1"/>
      <c r="H39" s="1"/>
      <c r="I39" s="1"/>
      <c r="J39" s="1"/>
      <c r="K39" s="1"/>
      <c r="L39" s="1"/>
      <c r="M39" s="1"/>
    </row>
    <row r="40" spans="1:13">
      <c r="A40" s="123" t="s">
        <v>301</v>
      </c>
      <c r="B40" s="124"/>
      <c r="C40" s="124"/>
      <c r="D40" s="125"/>
      <c r="E40" s="129"/>
      <c r="F40" s="130"/>
      <c r="G40" s="130"/>
      <c r="H40" s="130"/>
      <c r="I40" s="130"/>
      <c r="J40" s="130"/>
      <c r="K40" s="130"/>
      <c r="L40" s="130"/>
      <c r="M40" s="131"/>
    </row>
    <row r="41" spans="1:13">
      <c r="A41" s="126"/>
      <c r="B41" s="127"/>
      <c r="C41" s="127"/>
      <c r="D41" s="128"/>
      <c r="E41" s="132"/>
      <c r="F41" s="133"/>
      <c r="G41" s="133"/>
      <c r="H41" s="133"/>
      <c r="I41" s="133"/>
      <c r="J41" s="133"/>
      <c r="K41" s="133"/>
      <c r="L41" s="133"/>
      <c r="M41" s="134"/>
    </row>
    <row r="42" spans="1:13">
      <c r="A42" s="1"/>
      <c r="B42" s="1"/>
      <c r="C42" s="1"/>
      <c r="D42" s="1"/>
      <c r="E42" s="1"/>
      <c r="F42" s="1"/>
      <c r="G42" s="1"/>
      <c r="H42" s="1"/>
      <c r="I42" s="1"/>
      <c r="J42" s="1"/>
      <c r="K42" s="1"/>
      <c r="L42" s="1"/>
      <c r="M42" s="1"/>
    </row>
    <row r="43" spans="1:13">
      <c r="A43" s="162"/>
      <c r="B43" s="162"/>
      <c r="C43" s="162"/>
      <c r="D43" s="162"/>
      <c r="E43" s="162"/>
      <c r="F43" s="162"/>
      <c r="G43" s="162"/>
      <c r="H43" s="162"/>
      <c r="I43" s="162"/>
      <c r="J43" s="162"/>
      <c r="K43" s="162"/>
      <c r="L43" s="162"/>
      <c r="M43" s="162"/>
    </row>
    <row r="44" spans="1:13">
      <c r="A44" s="162"/>
      <c r="B44" s="162"/>
      <c r="C44" s="162"/>
      <c r="D44" s="162"/>
      <c r="E44" s="162"/>
      <c r="F44" s="162"/>
      <c r="G44" s="162"/>
      <c r="H44" s="162"/>
      <c r="I44" s="162"/>
      <c r="J44" s="162"/>
      <c r="K44" s="162"/>
      <c r="L44" s="162"/>
      <c r="M44" s="162"/>
    </row>
    <row r="45" spans="1:13">
      <c r="A45" s="1"/>
      <c r="B45" s="1" t="s">
        <v>302</v>
      </c>
      <c r="C45" s="1"/>
      <c r="D45" s="1"/>
      <c r="E45" s="1" t="s">
        <v>303</v>
      </c>
      <c r="F45" s="1"/>
      <c r="G45" s="1"/>
      <c r="H45" s="1"/>
      <c r="I45" s="1"/>
      <c r="J45" s="1" t="s">
        <v>304</v>
      </c>
      <c r="K45" s="1"/>
      <c r="L45" s="1"/>
      <c r="M45" s="1"/>
    </row>
    <row r="46" spans="1:13">
      <c r="A46" s="1"/>
      <c r="B46" s="1" t="s">
        <v>305</v>
      </c>
      <c r="C46" s="1"/>
      <c r="D46" s="1"/>
      <c r="E46" s="1"/>
      <c r="F46" s="1"/>
      <c r="G46" s="1"/>
      <c r="H46" s="1"/>
      <c r="I46" s="1"/>
      <c r="J46" s="1" t="s">
        <v>306</v>
      </c>
      <c r="K46" s="1"/>
      <c r="L46" s="1"/>
      <c r="M46" s="1"/>
    </row>
    <row r="47" spans="1:13">
      <c r="A47" s="1"/>
      <c r="B47" s="1"/>
      <c r="C47" s="1"/>
      <c r="D47" s="1"/>
      <c r="E47" s="1"/>
      <c r="F47" s="1"/>
      <c r="G47" s="1"/>
      <c r="H47" s="1"/>
      <c r="I47" s="1"/>
      <c r="J47" s="1"/>
      <c r="K47" s="1"/>
      <c r="L47" s="1"/>
      <c r="M47" s="1"/>
    </row>
    <row r="48" spans="1:13">
      <c r="A48" s="162"/>
      <c r="B48" s="162"/>
      <c r="C48" s="162"/>
      <c r="D48" s="162"/>
      <c r="E48" s="162"/>
      <c r="F48" s="162"/>
      <c r="G48" s="162"/>
      <c r="H48" s="162"/>
      <c r="I48" s="162"/>
      <c r="J48" s="162"/>
      <c r="K48" s="162"/>
      <c r="L48" s="162"/>
      <c r="M48" s="162"/>
    </row>
    <row r="49" spans="1:13">
      <c r="A49" s="162"/>
      <c r="B49" s="162"/>
      <c r="C49" s="162"/>
      <c r="D49" s="162"/>
      <c r="E49" s="162"/>
      <c r="F49" s="162"/>
      <c r="G49" s="162"/>
      <c r="H49" s="162"/>
      <c r="I49" s="162"/>
      <c r="J49" s="162"/>
      <c r="K49" s="162"/>
      <c r="L49" s="162"/>
      <c r="M49" s="162"/>
    </row>
    <row r="50" spans="1:13">
      <c r="A50" s="1" t="s">
        <v>307</v>
      </c>
      <c r="B50" s="1"/>
      <c r="C50" s="1"/>
      <c r="D50" s="1"/>
      <c r="E50" s="1"/>
      <c r="F50" s="1"/>
      <c r="G50" s="1"/>
      <c r="H50" s="1"/>
      <c r="I50" s="1"/>
      <c r="J50" s="1"/>
      <c r="K50" s="1"/>
      <c r="L50" s="1"/>
      <c r="M50" s="1"/>
    </row>
    <row r="51" spans="1:13">
      <c r="A51" s="1" t="s">
        <v>308</v>
      </c>
      <c r="B51" s="1"/>
      <c r="C51" s="1"/>
      <c r="D51" s="1"/>
      <c r="E51" s="1"/>
      <c r="F51" s="1"/>
      <c r="G51" s="1"/>
      <c r="H51" s="1"/>
      <c r="I51" s="1"/>
      <c r="J51" s="1"/>
      <c r="K51" s="1"/>
      <c r="L51" s="1"/>
      <c r="M51" s="1"/>
    </row>
    <row r="52" spans="1:13">
      <c r="A52" s="1" t="s">
        <v>309</v>
      </c>
      <c r="B52" s="1"/>
      <c r="C52" s="1"/>
      <c r="D52" s="1"/>
      <c r="E52" s="1"/>
      <c r="F52" s="1"/>
      <c r="G52" s="1"/>
      <c r="H52" s="1"/>
      <c r="I52" s="1"/>
      <c r="J52" s="1"/>
      <c r="K52" s="1"/>
      <c r="L52" s="1"/>
      <c r="M52" s="1"/>
    </row>
  </sheetData>
  <mergeCells count="27">
    <mergeCell ref="A43:M44"/>
    <mergeCell ref="A48:M49"/>
    <mergeCell ref="A35:D35"/>
    <mergeCell ref="E35:M35"/>
    <mergeCell ref="A37:D38"/>
    <mergeCell ref="E37:M38"/>
    <mergeCell ref="A40:D41"/>
    <mergeCell ref="E40:M41"/>
    <mergeCell ref="A30:D31"/>
    <mergeCell ref="E30:M31"/>
    <mergeCell ref="A33:D33"/>
    <mergeCell ref="E33:M33"/>
    <mergeCell ref="A34:D34"/>
    <mergeCell ref="E34:M34"/>
    <mergeCell ref="A21:D22"/>
    <mergeCell ref="E21:M22"/>
    <mergeCell ref="A24:D25"/>
    <mergeCell ref="E24:M25"/>
    <mergeCell ref="A27:D28"/>
    <mergeCell ref="E27:M28"/>
    <mergeCell ref="A18:D19"/>
    <mergeCell ref="E18:M19"/>
    <mergeCell ref="A6:M6"/>
    <mergeCell ref="A12:D13"/>
    <mergeCell ref="E12:M13"/>
    <mergeCell ref="A15:D16"/>
    <mergeCell ref="E15:M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1"/>
  <sheetViews>
    <sheetView workbookViewId="0">
      <selection activeCell="L8" sqref="L8"/>
    </sheetView>
  </sheetViews>
  <sheetFormatPr baseColWidth="10" defaultColWidth="9.140625" defaultRowHeight="15"/>
  <cols>
    <col min="1" max="1" width="37.42578125" customWidth="1"/>
    <col min="9" max="9" width="6.140625" customWidth="1"/>
  </cols>
  <sheetData>
    <row r="1" spans="1:9">
      <c r="A1" s="166"/>
      <c r="B1" s="166"/>
      <c r="C1" s="166"/>
      <c r="D1" s="166"/>
      <c r="E1" s="166"/>
      <c r="F1" s="166"/>
      <c r="G1" s="166"/>
      <c r="H1" s="166"/>
      <c r="I1" s="166"/>
    </row>
    <row r="2" spans="1:9">
      <c r="A2" s="166"/>
      <c r="B2" s="166"/>
      <c r="C2" s="166"/>
      <c r="D2" s="166"/>
      <c r="E2" s="166"/>
      <c r="F2" s="166"/>
      <c r="G2" s="166"/>
      <c r="H2" s="166"/>
      <c r="I2" s="166"/>
    </row>
    <row r="3" spans="1:9">
      <c r="A3" s="166"/>
      <c r="B3" s="166"/>
      <c r="C3" s="166"/>
      <c r="D3" s="166"/>
      <c r="E3" s="166"/>
      <c r="F3" s="166"/>
      <c r="G3" s="166"/>
      <c r="H3" s="166"/>
      <c r="I3" s="166"/>
    </row>
    <row r="4" spans="1:9" ht="15.75" thickBot="1">
      <c r="A4" s="167"/>
      <c r="B4" s="167"/>
      <c r="C4" s="167"/>
      <c r="D4" s="167"/>
      <c r="E4" s="167"/>
      <c r="F4" s="167"/>
      <c r="G4" s="167"/>
      <c r="H4" s="167"/>
      <c r="I4" s="167"/>
    </row>
    <row r="5" spans="1:9" ht="24" thickBot="1">
      <c r="A5" s="135" t="s">
        <v>310</v>
      </c>
      <c r="B5" s="136"/>
      <c r="C5" s="136"/>
      <c r="D5" s="136"/>
      <c r="E5" s="136"/>
      <c r="F5" s="136"/>
      <c r="G5" s="136"/>
      <c r="H5" s="136"/>
      <c r="I5" s="137"/>
    </row>
    <row r="6" spans="1:9">
      <c r="A6" s="162" t="s">
        <v>311</v>
      </c>
      <c r="B6" s="162"/>
      <c r="C6" s="162"/>
      <c r="D6" s="162"/>
      <c r="E6" s="162"/>
      <c r="F6" s="162"/>
      <c r="G6" s="162"/>
      <c r="H6" s="162"/>
      <c r="I6" s="162"/>
    </row>
    <row r="7" spans="1:9" s="16" customFormat="1">
      <c r="A7" s="168"/>
      <c r="B7" s="168"/>
      <c r="C7" s="168"/>
      <c r="D7" s="168"/>
      <c r="E7" s="168"/>
      <c r="F7" s="168"/>
      <c r="G7" s="168"/>
      <c r="H7" s="168"/>
      <c r="I7" s="168"/>
    </row>
    <row r="8" spans="1:9" ht="15.75" thickBot="1">
      <c r="A8" s="168"/>
      <c r="B8" s="168"/>
      <c r="C8" s="168"/>
      <c r="D8" s="168"/>
      <c r="E8" s="168"/>
      <c r="F8" s="168"/>
      <c r="G8" s="168"/>
      <c r="H8" s="168"/>
      <c r="I8" s="168"/>
    </row>
    <row r="9" spans="1:9" ht="15.75" thickBot="1">
      <c r="A9" s="17" t="s">
        <v>312</v>
      </c>
      <c r="B9" s="169"/>
      <c r="C9" s="170"/>
      <c r="D9" s="170"/>
      <c r="E9" s="170"/>
      <c r="F9" s="170"/>
      <c r="G9" s="170"/>
      <c r="H9" s="170"/>
      <c r="I9" s="170"/>
    </row>
    <row r="10" spans="1:9">
      <c r="A10" s="18" t="s">
        <v>313</v>
      </c>
      <c r="B10" s="163"/>
      <c r="C10" s="164"/>
      <c r="D10" s="164"/>
      <c r="E10" s="164"/>
      <c r="F10" s="164"/>
      <c r="G10" s="164"/>
      <c r="H10" s="164"/>
      <c r="I10" s="165"/>
    </row>
    <row r="11" spans="1:9">
      <c r="A11" s="4" t="s">
        <v>314</v>
      </c>
      <c r="B11" s="163"/>
      <c r="C11" s="164"/>
      <c r="D11" s="164"/>
      <c r="E11" s="164"/>
      <c r="F11" s="164"/>
      <c r="G11" s="164"/>
      <c r="H11" s="164"/>
      <c r="I11" s="165"/>
    </row>
    <row r="12" spans="1:9">
      <c r="A12" s="4" t="s">
        <v>315</v>
      </c>
      <c r="B12" s="163"/>
      <c r="C12" s="164"/>
      <c r="D12" s="164"/>
      <c r="E12" s="164"/>
      <c r="F12" s="164"/>
      <c r="G12" s="164"/>
      <c r="H12" s="164"/>
      <c r="I12" s="165"/>
    </row>
    <row r="13" spans="1:9">
      <c r="A13" s="171"/>
      <c r="B13" s="171"/>
      <c r="C13" s="171"/>
      <c r="D13" s="171"/>
      <c r="E13" s="171"/>
      <c r="F13" s="171"/>
      <c r="G13" s="171"/>
      <c r="H13" s="171"/>
      <c r="I13" s="171"/>
    </row>
    <row r="14" spans="1:9" ht="15.75" thickBot="1">
      <c r="A14" s="166"/>
      <c r="B14" s="166"/>
      <c r="C14" s="166"/>
      <c r="D14" s="166"/>
      <c r="E14" s="166"/>
      <c r="F14" s="166"/>
      <c r="G14" s="166"/>
      <c r="H14" s="166"/>
      <c r="I14" s="166"/>
    </row>
    <row r="15" spans="1:9" ht="15.75" thickBot="1">
      <c r="A15" s="17" t="s">
        <v>316</v>
      </c>
      <c r="B15" s="172"/>
      <c r="C15" s="173"/>
      <c r="D15" s="173"/>
      <c r="E15" s="173"/>
      <c r="F15" s="173"/>
      <c r="G15" s="173"/>
      <c r="H15" s="173"/>
      <c r="I15" s="173"/>
    </row>
    <row r="16" spans="1:9">
      <c r="A16" s="18" t="s">
        <v>317</v>
      </c>
      <c r="B16" s="163"/>
      <c r="C16" s="164"/>
      <c r="D16" s="164"/>
      <c r="E16" s="164"/>
      <c r="F16" s="164"/>
      <c r="G16" s="164"/>
      <c r="H16" s="164"/>
      <c r="I16" s="165"/>
    </row>
    <row r="17" spans="1:9">
      <c r="A17" s="18" t="s">
        <v>318</v>
      </c>
      <c r="B17" s="163"/>
      <c r="C17" s="164"/>
      <c r="D17" s="164"/>
      <c r="E17" s="164"/>
      <c r="F17" s="164"/>
      <c r="G17" s="164"/>
      <c r="H17" s="164"/>
      <c r="I17" s="165"/>
    </row>
    <row r="18" spans="1:9">
      <c r="A18" s="18" t="s">
        <v>319</v>
      </c>
      <c r="B18" s="163"/>
      <c r="C18" s="164"/>
      <c r="D18" s="164"/>
      <c r="E18" s="164"/>
      <c r="F18" s="164"/>
      <c r="G18" s="164"/>
      <c r="H18" s="164"/>
      <c r="I18" s="165"/>
    </row>
    <row r="19" spans="1:9">
      <c r="A19" s="18" t="s">
        <v>320</v>
      </c>
      <c r="B19" s="163"/>
      <c r="C19" s="164"/>
      <c r="D19" s="164"/>
      <c r="E19" s="164"/>
      <c r="F19" s="164"/>
      <c r="G19" s="164"/>
      <c r="H19" s="164"/>
      <c r="I19" s="165"/>
    </row>
    <row r="20" spans="1:9">
      <c r="A20" s="18" t="s">
        <v>321</v>
      </c>
      <c r="B20" s="163"/>
      <c r="C20" s="164"/>
      <c r="D20" s="164"/>
      <c r="E20" s="164"/>
      <c r="F20" s="164"/>
      <c r="G20" s="164"/>
      <c r="H20" s="164"/>
      <c r="I20" s="165"/>
    </row>
    <row r="21" spans="1:9">
      <c r="A21" s="18" t="s">
        <v>322</v>
      </c>
      <c r="B21" s="163"/>
      <c r="C21" s="164"/>
      <c r="D21" s="164"/>
      <c r="E21" s="164"/>
      <c r="F21" s="164"/>
      <c r="G21" s="164"/>
      <c r="H21" s="164"/>
      <c r="I21" s="165"/>
    </row>
    <row r="22" spans="1:9">
      <c r="A22" s="18" t="s">
        <v>323</v>
      </c>
      <c r="B22" s="163"/>
      <c r="C22" s="164"/>
      <c r="D22" s="164"/>
      <c r="E22" s="164"/>
      <c r="F22" s="164"/>
      <c r="G22" s="164"/>
      <c r="H22" s="164"/>
      <c r="I22" s="165"/>
    </row>
    <row r="23" spans="1:9">
      <c r="A23" s="18" t="s">
        <v>324</v>
      </c>
      <c r="B23" s="163"/>
      <c r="C23" s="164"/>
      <c r="D23" s="164"/>
      <c r="E23" s="164"/>
      <c r="F23" s="164"/>
      <c r="G23" s="164"/>
      <c r="H23" s="164"/>
      <c r="I23" s="165"/>
    </row>
    <row r="24" spans="1:9">
      <c r="A24" s="18" t="s">
        <v>330</v>
      </c>
      <c r="B24" s="163"/>
      <c r="C24" s="164"/>
      <c r="D24" s="164"/>
      <c r="E24" s="164"/>
      <c r="F24" s="164"/>
      <c r="G24" s="164"/>
      <c r="H24" s="164"/>
      <c r="I24" s="165"/>
    </row>
    <row r="25" spans="1:9">
      <c r="A25" s="18" t="s">
        <v>331</v>
      </c>
      <c r="B25" s="163"/>
      <c r="C25" s="164"/>
      <c r="D25" s="164"/>
      <c r="E25" s="164"/>
      <c r="F25" s="164"/>
      <c r="G25" s="164"/>
      <c r="H25" s="164"/>
      <c r="I25" s="165"/>
    </row>
    <row r="26" spans="1:9">
      <c r="A26" s="171"/>
      <c r="B26" s="171"/>
      <c r="C26" s="171"/>
      <c r="D26" s="171"/>
      <c r="E26" s="171"/>
      <c r="F26" s="171"/>
      <c r="G26" s="171"/>
      <c r="H26" s="171"/>
      <c r="I26" s="171"/>
    </row>
    <row r="27" spans="1:9">
      <c r="A27" s="166"/>
      <c r="B27" s="166"/>
      <c r="C27" s="166"/>
      <c r="D27" s="166"/>
      <c r="E27" s="166"/>
      <c r="F27" s="166"/>
      <c r="G27" s="166"/>
      <c r="H27" s="166"/>
      <c r="I27" s="166"/>
    </row>
    <row r="28" spans="1:9">
      <c r="A28" s="166"/>
      <c r="B28" s="166"/>
      <c r="C28" s="166"/>
      <c r="D28" s="166"/>
      <c r="E28" s="166"/>
      <c r="F28" s="166"/>
      <c r="G28" s="166"/>
      <c r="H28" s="166"/>
      <c r="I28" s="166"/>
    </row>
    <row r="29" spans="1:9">
      <c r="A29" s="166"/>
      <c r="B29" s="166"/>
      <c r="C29" s="166"/>
      <c r="D29" s="166"/>
      <c r="E29" s="166"/>
      <c r="F29" s="166"/>
      <c r="G29" s="166"/>
      <c r="H29" s="166"/>
      <c r="I29" s="166"/>
    </row>
    <row r="30" spans="1:9">
      <c r="A30" s="162" t="s">
        <v>325</v>
      </c>
      <c r="B30" s="162"/>
      <c r="C30" s="162"/>
      <c r="D30" s="162"/>
      <c r="E30" s="162"/>
      <c r="F30" s="162"/>
      <c r="G30" s="162"/>
      <c r="H30" s="162"/>
      <c r="I30" s="162"/>
    </row>
    <row r="31" spans="1:9">
      <c r="A31" s="162" t="s">
        <v>326</v>
      </c>
      <c r="B31" s="162"/>
      <c r="C31" s="162"/>
      <c r="D31" s="162"/>
      <c r="E31" s="162"/>
      <c r="F31" s="162"/>
      <c r="G31" s="162"/>
      <c r="H31" s="162"/>
      <c r="I31" s="162"/>
    </row>
    <row r="32" spans="1:9">
      <c r="A32" s="162"/>
      <c r="B32" s="162"/>
      <c r="C32" s="162"/>
      <c r="D32" s="162"/>
      <c r="E32" s="162"/>
      <c r="F32" s="162"/>
      <c r="G32" s="162"/>
      <c r="H32" s="162"/>
      <c r="I32" s="162"/>
    </row>
    <row r="33" spans="1:9">
      <c r="A33" s="162"/>
      <c r="B33" s="162"/>
      <c r="C33" s="162"/>
      <c r="D33" s="162"/>
      <c r="E33" s="162"/>
      <c r="F33" s="162"/>
      <c r="G33" s="162"/>
      <c r="H33" s="162"/>
      <c r="I33" s="162"/>
    </row>
    <row r="34" spans="1:9">
      <c r="A34" s="162" t="s">
        <v>332</v>
      </c>
      <c r="B34" s="162"/>
      <c r="C34" s="162"/>
      <c r="D34" s="162"/>
      <c r="E34" s="162"/>
      <c r="F34" s="162"/>
      <c r="G34" s="162"/>
      <c r="H34" s="162"/>
      <c r="I34" s="162"/>
    </row>
    <row r="35" spans="1:9">
      <c r="A35" s="162"/>
      <c r="B35" s="162"/>
      <c r="C35" s="162"/>
      <c r="D35" s="162"/>
      <c r="E35" s="162"/>
      <c r="F35" s="162"/>
      <c r="G35" s="162"/>
      <c r="H35" s="162"/>
      <c r="I35" s="162"/>
    </row>
    <row r="36" spans="1:9">
      <c r="A36" s="162"/>
      <c r="B36" s="162"/>
      <c r="C36" s="162"/>
      <c r="D36" s="162"/>
      <c r="E36" s="162"/>
      <c r="F36" s="162"/>
      <c r="G36" s="162"/>
      <c r="H36" s="162"/>
      <c r="I36" s="162"/>
    </row>
    <row r="37" spans="1:9">
      <c r="A37" s="162"/>
      <c r="B37" s="162"/>
      <c r="C37" s="162"/>
      <c r="D37" s="162"/>
      <c r="E37" s="162"/>
      <c r="F37" s="162"/>
      <c r="G37" s="162"/>
      <c r="H37" s="162"/>
      <c r="I37" s="162"/>
    </row>
    <row r="38" spans="1:9">
      <c r="A38" s="162"/>
      <c r="B38" s="162"/>
      <c r="C38" s="162"/>
      <c r="D38" s="162"/>
      <c r="E38" s="162"/>
      <c r="F38" s="162"/>
      <c r="G38" s="162"/>
      <c r="H38" s="162"/>
      <c r="I38" s="162"/>
    </row>
    <row r="39" spans="1:9">
      <c r="A39" s="104" t="s">
        <v>327</v>
      </c>
      <c r="B39" s="104"/>
      <c r="C39" s="104"/>
      <c r="D39" s="104"/>
      <c r="E39" s="104"/>
      <c r="F39" s="104"/>
      <c r="G39" s="104"/>
      <c r="H39" s="104"/>
      <c r="I39" s="104"/>
    </row>
    <row r="40" spans="1:9">
      <c r="A40" s="1" t="s">
        <v>328</v>
      </c>
      <c r="B40" s="1"/>
      <c r="C40" s="1"/>
      <c r="D40" s="1"/>
      <c r="E40" s="1"/>
      <c r="F40" s="1"/>
      <c r="G40" s="1"/>
      <c r="H40" s="1"/>
      <c r="I40" s="1"/>
    </row>
    <row r="41" spans="1:9">
      <c r="A41" s="1" t="s">
        <v>329</v>
      </c>
      <c r="B41" s="1"/>
      <c r="C41" s="1"/>
      <c r="D41" s="1"/>
      <c r="E41" s="1"/>
      <c r="F41" s="1"/>
      <c r="G41" s="1"/>
      <c r="H41" s="1"/>
      <c r="I41" s="1"/>
    </row>
  </sheetData>
  <mergeCells count="27">
    <mergeCell ref="A34:I34"/>
    <mergeCell ref="A35:I38"/>
    <mergeCell ref="A39:I39"/>
    <mergeCell ref="B24:I24"/>
    <mergeCell ref="B25:I25"/>
    <mergeCell ref="A26:I29"/>
    <mergeCell ref="A30:I30"/>
    <mergeCell ref="A31:I31"/>
    <mergeCell ref="A32:I33"/>
    <mergeCell ref="B23:I23"/>
    <mergeCell ref="B11:I11"/>
    <mergeCell ref="B12:I12"/>
    <mergeCell ref="A13:I14"/>
    <mergeCell ref="B15:I15"/>
    <mergeCell ref="B16:I16"/>
    <mergeCell ref="B17:I17"/>
    <mergeCell ref="B18:I18"/>
    <mergeCell ref="B19:I19"/>
    <mergeCell ref="B20:I20"/>
    <mergeCell ref="B21:I21"/>
    <mergeCell ref="B22:I22"/>
    <mergeCell ref="B10:I10"/>
    <mergeCell ref="A1:I4"/>
    <mergeCell ref="A5:I5"/>
    <mergeCell ref="A6:I6"/>
    <mergeCell ref="A7:I8"/>
    <mergeCell ref="B9:I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2"/>
  <sheetViews>
    <sheetView workbookViewId="0">
      <selection activeCell="E13" sqref="E13"/>
    </sheetView>
  </sheetViews>
  <sheetFormatPr baseColWidth="10" defaultRowHeight="15"/>
  <cols>
    <col min="1" max="1" width="16" customWidth="1"/>
    <col min="3" max="3" width="42.140625" customWidth="1"/>
    <col min="4" max="4" width="19" customWidth="1"/>
  </cols>
  <sheetData>
    <row r="1" spans="1:5">
      <c r="A1" t="s">
        <v>107</v>
      </c>
    </row>
    <row r="3" spans="1:5" ht="45">
      <c r="A3" s="2" t="s">
        <v>108</v>
      </c>
    </row>
    <row r="4" spans="1:5">
      <c r="A4" t="s">
        <v>109</v>
      </c>
      <c r="C4" t="s">
        <v>110</v>
      </c>
      <c r="E4" s="3" t="s">
        <v>111</v>
      </c>
    </row>
    <row r="5" spans="1:5">
      <c r="A5" s="4" t="s">
        <v>112</v>
      </c>
      <c r="C5" t="s">
        <v>113</v>
      </c>
      <c r="E5" s="3" t="s">
        <v>114</v>
      </c>
    </row>
    <row r="6" spans="1:5">
      <c r="A6" s="4" t="s">
        <v>2</v>
      </c>
      <c r="C6" t="s">
        <v>115</v>
      </c>
      <c r="E6" s="3" t="s">
        <v>116</v>
      </c>
    </row>
    <row r="7" spans="1:5">
      <c r="A7" s="4" t="s">
        <v>117</v>
      </c>
      <c r="C7" t="s">
        <v>118</v>
      </c>
    </row>
    <row r="8" spans="1:5">
      <c r="A8" s="4" t="s">
        <v>119</v>
      </c>
      <c r="C8" t="s">
        <v>120</v>
      </c>
      <c r="E8" s="3" t="s">
        <v>121</v>
      </c>
    </row>
    <row r="9" spans="1:5">
      <c r="A9" s="4" t="s">
        <v>122</v>
      </c>
      <c r="C9" t="s">
        <v>123</v>
      </c>
      <c r="E9" s="3" t="s">
        <v>124</v>
      </c>
    </row>
    <row r="10" spans="1:5">
      <c r="A10" s="4" t="s">
        <v>125</v>
      </c>
      <c r="C10" t="s">
        <v>126</v>
      </c>
      <c r="E10" s="3" t="s">
        <v>343</v>
      </c>
    </row>
    <row r="11" spans="1:5">
      <c r="A11" s="4" t="s">
        <v>128</v>
      </c>
      <c r="C11" t="s">
        <v>129</v>
      </c>
      <c r="E11" s="3" t="s">
        <v>127</v>
      </c>
    </row>
    <row r="12" spans="1:5">
      <c r="A12" s="4" t="s">
        <v>131</v>
      </c>
      <c r="C12" t="s">
        <v>132</v>
      </c>
      <c r="E12" s="3" t="s">
        <v>130</v>
      </c>
    </row>
    <row r="13" spans="1:5">
      <c r="A13" s="4" t="s">
        <v>134</v>
      </c>
      <c r="C13" t="s">
        <v>135</v>
      </c>
      <c r="E13" s="3" t="s">
        <v>133</v>
      </c>
    </row>
    <row r="14" spans="1:5">
      <c r="A14" s="4" t="s">
        <v>136</v>
      </c>
      <c r="C14" t="s">
        <v>137</v>
      </c>
    </row>
    <row r="15" spans="1:5">
      <c r="A15" s="4" t="s">
        <v>138</v>
      </c>
      <c r="C15" t="s">
        <v>139</v>
      </c>
      <c r="E15" s="7" t="s">
        <v>199</v>
      </c>
    </row>
    <row r="16" spans="1:5">
      <c r="A16" s="4" t="s">
        <v>140</v>
      </c>
      <c r="C16" t="s">
        <v>141</v>
      </c>
      <c r="E16" s="7" t="s">
        <v>206</v>
      </c>
    </row>
    <row r="17" spans="1:3">
      <c r="A17" s="4" t="s">
        <v>142</v>
      </c>
      <c r="C17" t="s">
        <v>143</v>
      </c>
    </row>
    <row r="18" spans="1:3">
      <c r="A18" s="4" t="s">
        <v>144</v>
      </c>
      <c r="C18" t="s">
        <v>145</v>
      </c>
    </row>
    <row r="19" spans="1:3">
      <c r="A19" s="4" t="s">
        <v>146</v>
      </c>
      <c r="C19" t="s">
        <v>147</v>
      </c>
    </row>
    <row r="20" spans="1:3" ht="30">
      <c r="A20" s="4" t="s">
        <v>148</v>
      </c>
      <c r="C20" s="5" t="s">
        <v>149</v>
      </c>
    </row>
    <row r="21" spans="1:3">
      <c r="A21" s="4" t="s">
        <v>150</v>
      </c>
      <c r="C21" t="s">
        <v>151</v>
      </c>
    </row>
    <row r="22" spans="1:3">
      <c r="A22" s="4" t="s">
        <v>152</v>
      </c>
      <c r="C22" t="s">
        <v>153</v>
      </c>
    </row>
    <row r="23" spans="1:3">
      <c r="A23" s="4" t="s">
        <v>154</v>
      </c>
      <c r="C23" t="s">
        <v>155</v>
      </c>
    </row>
    <row r="24" spans="1:3">
      <c r="A24" s="4" t="s">
        <v>156</v>
      </c>
      <c r="C24" t="s">
        <v>157</v>
      </c>
    </row>
    <row r="25" spans="1:3">
      <c r="A25" s="4" t="s">
        <v>158</v>
      </c>
      <c r="C25" t="s">
        <v>159</v>
      </c>
    </row>
    <row r="26" spans="1:3">
      <c r="A26" s="4" t="s">
        <v>160</v>
      </c>
      <c r="C26" t="s">
        <v>161</v>
      </c>
    </row>
    <row r="27" spans="1:3">
      <c r="A27" s="4" t="s">
        <v>162</v>
      </c>
      <c r="C27" t="s">
        <v>163</v>
      </c>
    </row>
    <row r="28" spans="1:3">
      <c r="A28" s="4" t="s">
        <v>164</v>
      </c>
      <c r="C28" t="s">
        <v>165</v>
      </c>
    </row>
    <row r="29" spans="1:3">
      <c r="A29" s="4" t="s">
        <v>166</v>
      </c>
      <c r="C29" t="s">
        <v>104</v>
      </c>
    </row>
    <row r="30" spans="1:3">
      <c r="A30" s="4" t="s">
        <v>167</v>
      </c>
      <c r="C30" t="s">
        <v>168</v>
      </c>
    </row>
    <row r="31" spans="1:3">
      <c r="A31" s="4" t="s">
        <v>169</v>
      </c>
      <c r="C31" t="s">
        <v>170</v>
      </c>
    </row>
    <row r="32" spans="1:3">
      <c r="C32" t="s">
        <v>171</v>
      </c>
    </row>
    <row r="33" spans="3:3">
      <c r="C33" s="6" t="s">
        <v>172</v>
      </c>
    </row>
    <row r="34" spans="3:3">
      <c r="C34" s="6" t="s">
        <v>173</v>
      </c>
    </row>
    <row r="35" spans="3:3">
      <c r="C35" t="s">
        <v>18</v>
      </c>
    </row>
    <row r="36" spans="3:3">
      <c r="C36" t="s">
        <v>174</v>
      </c>
    </row>
    <row r="37" spans="3:3">
      <c r="C37" t="s">
        <v>175</v>
      </c>
    </row>
    <row r="38" spans="3:3">
      <c r="C38" t="s">
        <v>176</v>
      </c>
    </row>
    <row r="39" spans="3:3">
      <c r="C39" s="6" t="s">
        <v>177</v>
      </c>
    </row>
    <row r="40" spans="3:3">
      <c r="C40" s="6" t="s">
        <v>178</v>
      </c>
    </row>
    <row r="41" spans="3:3">
      <c r="C41" t="s">
        <v>179</v>
      </c>
    </row>
    <row r="42" spans="3:3">
      <c r="C42" t="s">
        <v>180</v>
      </c>
    </row>
  </sheetData>
  <sheetProtection algorithmName="SHA-512" hashValue="IFLAE+p8upIBnmqJU1F3uLzZpx/FAKqEwWQZ/20OTkuVMy/bb6P8F3KWT9RDvOG93o97RULY5fVr4+Jix7HAIQ==" saltValue="1h2B36kMWWj05y5rVfffCw==" spinCount="100000" sheet="1" objects="1" scenarios="1"/>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Formul. Anticipos y Rendiciones</vt:lpstr>
      <vt:lpstr>Listado</vt:lpstr>
      <vt:lpstr>Info Relevante</vt:lpstr>
      <vt:lpstr>Informe de actividades</vt:lpstr>
      <vt:lpstr>Ficha ident. Financiera</vt:lpstr>
      <vt:lpstr>Tablas</vt:lpstr>
      <vt:lpstr>'Formul. Anticipos y Rendiciones'!Área_de_impresión</vt:lpstr>
      <vt:lpstr>comp</vt:lpstr>
      <vt:lpstr>tabla</vt:lpstr>
    </vt:vector>
  </TitlesOfParts>
  <Company>Fundacion ArgenINTA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Fernandez</dc:creator>
  <cp:lastModifiedBy>Catalina Gutierrez</cp:lastModifiedBy>
  <cp:lastPrinted>2023-06-12T19:34:19Z</cp:lastPrinted>
  <dcterms:created xsi:type="dcterms:W3CDTF">2022-12-15T11:51:18Z</dcterms:created>
  <dcterms:modified xsi:type="dcterms:W3CDTF">2026-04-15T18:20:36Z</dcterms:modified>
</cp:coreProperties>
</file>