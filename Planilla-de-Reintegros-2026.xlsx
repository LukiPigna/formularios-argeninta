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utierrez\Documents\Formularios actualizados\"/>
    </mc:Choice>
  </mc:AlternateContent>
  <xr:revisionPtr revIDLastSave="0" documentId="8_{44472C09-2146-4B06-B3A2-9752E5A06F88}" xr6:coauthVersionLast="47" xr6:coauthVersionMax="47" xr10:uidLastSave="{00000000-0000-0000-0000-000000000000}"/>
  <bookViews>
    <workbookView xWindow="-120" yWindow="-120" windowWidth="20730" windowHeight="11040" tabRatio="771" xr2:uid="{00000000-000D-0000-FFFF-FFFF00000000}"/>
  </bookViews>
  <sheets>
    <sheet name="Formulario de Reintegro" sheetId="8" r:id="rId1"/>
    <sheet name="Listado" sheetId="11" r:id="rId2"/>
    <sheet name="Info Relevante" sheetId="7" r:id="rId3"/>
    <sheet name="Informe de Actividades" sheetId="9" r:id="rId4"/>
    <sheet name="Ficha Ident. Financiera" sheetId="10" r:id="rId5"/>
    <sheet name="Tablas" sheetId="3" state="hidden" r:id="rId6"/>
  </sheets>
  <externalReferences>
    <externalReference r:id="rId7"/>
  </externalReferences>
  <definedNames>
    <definedName name="codigos" localSheetId="1">#REF!</definedName>
    <definedName name="codigos">#REF!</definedName>
    <definedName name="comp">Listado!$E$2:$E$150</definedName>
    <definedName name="proy" localSheetId="1">#REF!</definedName>
    <definedName name="proy">#REF!</definedName>
    <definedName name="tabla">Listado!$E$2:$F$150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11" l="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27" i="11" l="1"/>
  <c r="E126" i="11"/>
  <c r="E125" i="11"/>
  <c r="E124" i="11"/>
  <c r="E123" i="11"/>
  <c r="E122" i="11" l="1"/>
  <c r="E121" i="11"/>
  <c r="E120" i="11" l="1"/>
  <c r="E119" i="11"/>
  <c r="E118" i="11"/>
  <c r="E117" i="11"/>
  <c r="E116" i="11"/>
  <c r="E115" i="11"/>
  <c r="E114" i="11"/>
  <c r="E113" i="11"/>
  <c r="E112" i="11"/>
  <c r="E111" i="11"/>
  <c r="F110" i="11" l="1"/>
  <c r="E110" i="11"/>
  <c r="F109" i="11"/>
  <c r="E109" i="11"/>
  <c r="F108" i="11"/>
  <c r="E108" i="11"/>
  <c r="F107" i="11"/>
  <c r="E107" i="11"/>
  <c r="F106" i="11" l="1"/>
  <c r="E106" i="11"/>
  <c r="F105" i="11"/>
  <c r="E105" i="11"/>
  <c r="F104" i="11"/>
  <c r="E104" i="11"/>
  <c r="F103" i="11"/>
  <c r="E103" i="11"/>
  <c r="F102" i="11"/>
  <c r="E102" i="11"/>
  <c r="F101" i="11" l="1"/>
  <c r="E101" i="11"/>
  <c r="F100" i="11" l="1"/>
  <c r="E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F91" i="11"/>
  <c r="E91" i="11"/>
  <c r="F90" i="11"/>
  <c r="E90" i="11"/>
  <c r="F89" i="11"/>
  <c r="E89" i="11"/>
  <c r="F88" i="11"/>
  <c r="E88" i="11"/>
  <c r="F87" i="11"/>
  <c r="E87" i="11"/>
  <c r="F86" i="11"/>
  <c r="E86" i="11"/>
  <c r="F85" i="11"/>
  <c r="E85" i="11"/>
  <c r="F84" i="11"/>
  <c r="E84" i="11"/>
  <c r="F83" i="11"/>
  <c r="E83" i="11"/>
  <c r="F82" i="11"/>
  <c r="E82" i="11"/>
  <c r="F81" i="11"/>
  <c r="E81" i="11"/>
  <c r="F80" i="11"/>
  <c r="E80" i="11"/>
  <c r="F79" i="11"/>
  <c r="E79" i="11"/>
  <c r="F78" i="11"/>
  <c r="E78" i="11"/>
  <c r="F77" i="11"/>
  <c r="E77" i="11"/>
  <c r="F76" i="11"/>
  <c r="E76" i="11"/>
  <c r="F75" i="11"/>
  <c r="E75" i="11"/>
  <c r="F74" i="11"/>
  <c r="E74" i="11"/>
  <c r="F73" i="11"/>
  <c r="E73" i="11"/>
  <c r="F72" i="11"/>
  <c r="E72" i="11"/>
  <c r="F71" i="11"/>
  <c r="E71" i="11"/>
  <c r="F70" i="11"/>
  <c r="E70" i="11"/>
  <c r="F69" i="11"/>
  <c r="E69" i="11"/>
  <c r="F68" i="11"/>
  <c r="E68" i="11"/>
  <c r="F67" i="11"/>
  <c r="E67" i="11"/>
  <c r="F66" i="11"/>
  <c r="E66" i="11"/>
  <c r="F65" i="11"/>
  <c r="E65" i="11"/>
  <c r="F64" i="11"/>
  <c r="E64" i="11"/>
  <c r="F63" i="11"/>
  <c r="E63" i="11"/>
  <c r="F62" i="11"/>
  <c r="E62" i="11"/>
  <c r="F61" i="11"/>
  <c r="E61" i="11"/>
  <c r="F60" i="11"/>
  <c r="E60" i="11"/>
  <c r="F59" i="11"/>
  <c r="E59" i="11"/>
  <c r="F58" i="11"/>
  <c r="E58" i="11"/>
  <c r="F57" i="11"/>
  <c r="E57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F2" i="11"/>
  <c r="E2" i="11"/>
  <c r="C5" i="8" s="1"/>
  <c r="E30" i="8" l="1"/>
  <c r="D30" i="8"/>
  <c r="F20" i="8"/>
  <c r="E20" i="8"/>
  <c r="D20" i="8"/>
  <c r="E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Ernesto Fernandez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Seleccionar el código/componente correspondiente al proyecto de la lista desplegable</t>
        </r>
      </text>
    </comment>
    <comment ref="A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Se completa de manera automática al seleccionar el Proyecto</t>
        </r>
      </text>
    </comment>
    <comment ref="A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Colocar el nombre del organismo. Si el gasto se afecta a más de una institución, indicar el porcentaje de afectación que corresponda a cada uno de ellas.  </t>
        </r>
      </text>
    </comment>
    <comment ref="A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Indicar actividad que se llevará a cabo con el anticipo solicitado. Ej: Comisión para recolección de muestras para análisis</t>
        </r>
      </text>
    </comment>
    <comment ref="A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Nombre y Apellido del Beneficiario del Anticipo</t>
        </r>
      </text>
    </comment>
    <comment ref="A1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Indicar “para qué” se utilizaron los fondos del anticipo (combustible, pasajes, etc.)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Seleccionar de la lista el Rubro Presupuestario afectado</t>
        </r>
      </text>
    </comment>
    <comment ref="C1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Seleccionar la Actividad y Producto del Proyecto a los que se afecta el gasto</t>
        </r>
      </text>
    </comment>
    <comment ref="F1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Completar solo para gastos efectuados en otra Moneda Extranjera distinta a Pesos, Dólares o Euros</t>
        </r>
      </text>
    </comment>
    <comment ref="G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Numeración correlativa de los comprobantes</t>
        </r>
      </text>
    </comment>
    <comment ref="H1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Fecha que figura en el Ticket, Factura o Documento que se envíe como respaldatorio del gasto</t>
        </r>
      </text>
    </comment>
    <comment ref="A2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Emitida por home banking o similar. En caso de pago a una cuenta en el exterior, se deberá adjuntar la Ficha de Identificación Financiera</t>
        </r>
      </text>
    </comment>
    <comment ref="B2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Ver normativa de viáticos</t>
        </r>
      </text>
    </comment>
  </commentList>
</comments>
</file>

<file path=xl/sharedStrings.xml><?xml version="1.0" encoding="utf-8"?>
<sst xmlns="http://schemas.openxmlformats.org/spreadsheetml/2006/main" count="583" uniqueCount="471">
  <si>
    <t>Partida Presupuestaria</t>
  </si>
  <si>
    <t>1.2</t>
  </si>
  <si>
    <t>Número de orden de Comprobante</t>
  </si>
  <si>
    <t>Concepto del Comprobante</t>
  </si>
  <si>
    <t>Fecha del Comprobante</t>
  </si>
  <si>
    <t>Institución a la que se afecta el gasto:</t>
  </si>
  <si>
    <t>Código</t>
  </si>
  <si>
    <t>Descripción</t>
  </si>
  <si>
    <t>FINANCIAMIENTO</t>
  </si>
  <si>
    <t>5.2.14</t>
  </si>
  <si>
    <t>USDA</t>
  </si>
  <si>
    <t>OTROS</t>
  </si>
  <si>
    <t>5.2.15</t>
  </si>
  <si>
    <t>PIRBRIGHT</t>
  </si>
  <si>
    <t>FONTAGRO</t>
  </si>
  <si>
    <t>5.2.19</t>
  </si>
  <si>
    <t>JIRCAS</t>
  </si>
  <si>
    <t>5.2.21</t>
  </si>
  <si>
    <t>GIZ-SPIPA</t>
  </si>
  <si>
    <t>5.2.22</t>
  </si>
  <si>
    <t>H2020 - GA Nº 823967 – ProCEedS</t>
  </si>
  <si>
    <t>EU-H2020</t>
  </si>
  <si>
    <t>FTG-ATN/RF-16926-RG - Leguminosas</t>
  </si>
  <si>
    <t>FTG-ATN/RF-17232-RG- HLB</t>
  </si>
  <si>
    <t xml:space="preserve">IVVN    International Veterinary Vaccinology Network </t>
  </si>
  <si>
    <t>5.2.33</t>
  </si>
  <si>
    <t xml:space="preserve">BAYER Grants4Biologicals – Appl. Nº 033 </t>
  </si>
  <si>
    <t>H2020 GA Nº 862849 FERTIMANURE</t>
  </si>
  <si>
    <t xml:space="preserve">H2020 - GA Nº 857804 – DIBICOO </t>
  </si>
  <si>
    <t>UNIVERSIDAD DE GEORGIA</t>
  </si>
  <si>
    <t>PROCISUR- HLB</t>
  </si>
  <si>
    <t>PROCISUR</t>
  </si>
  <si>
    <t>INIA - INTA - FA (REDD+) “ Emisión y Remoción de GEI”</t>
  </si>
  <si>
    <t>5.2.42</t>
  </si>
  <si>
    <t>Acuerdo de Transferencia INTA - VETAL</t>
  </si>
  <si>
    <t>Curso Virtual IUIS-VIC</t>
  </si>
  <si>
    <t>FTG- ATN/RF-17245-RG(RG-T3387) - Regante</t>
  </si>
  <si>
    <t>5.2.45</t>
  </si>
  <si>
    <t>Carta Acuerdo N° 3/2020 - INIDEP CTMFM</t>
  </si>
  <si>
    <t>5.2.47</t>
  </si>
  <si>
    <t>PROCISUR-Leguminosas-FTG</t>
  </si>
  <si>
    <t>Universidad de Georgia (UGA) - Carbón de maní</t>
  </si>
  <si>
    <t>5.2.50</t>
  </si>
  <si>
    <t>Orden de trabajo – ERM Argentina S.A.</t>
  </si>
  <si>
    <t>H2020 Phy2Climate - GA N° 101006912</t>
  </si>
  <si>
    <t>FTG. ATN/RF-18136-RG (RG-T3584)-Coccidiosis Aviar</t>
  </si>
  <si>
    <t>FTG- ATN/RF-17950-RG -Eficiencia del Uso del Agua- Co ejec DGI</t>
  </si>
  <si>
    <t>FTG-ATN/RF-18078-RG (RG-T3587)- AGTECH LECHERIA INTELIGENTE</t>
  </si>
  <si>
    <t>FTG- ATN/RF-17950-RG -Eficiencia del Uso del Agua- Co ejec INTA</t>
  </si>
  <si>
    <t>FTG-ATN/RF-18077-RG- Gestión del Pasto- Co ejec INTA</t>
  </si>
  <si>
    <t>FTG-ATN/RF-18079-RG (RG-T3585)- Productividad Bovina</t>
  </si>
  <si>
    <t>H2020 - SOILGUARD - GA N° 101000371</t>
  </si>
  <si>
    <t xml:space="preserve">Carta Acuerdo INTA-FA DIBICOO  </t>
  </si>
  <si>
    <t>Carta Acuerdo INTA - FA - INIA REDD +  “ Emisión y Remoción de GEI”</t>
  </si>
  <si>
    <t>5.2.66</t>
  </si>
  <si>
    <t xml:space="preserve">Universidad de Liverpool </t>
  </si>
  <si>
    <t>5.2.67</t>
  </si>
  <si>
    <t>BAYER - Grants4 Ag Initiative</t>
  </si>
  <si>
    <t>FTG-ATN/RF-18105-RG-Arroz  Productivo</t>
  </si>
  <si>
    <t xml:space="preserve">STE N°2855-DSM </t>
  </si>
  <si>
    <t>5.2.70</t>
  </si>
  <si>
    <t>Contrato IAEA N° 20709</t>
  </si>
  <si>
    <t xml:space="preserve">Carta Acuerdo INTA -FAO ( TCP/RLA/3805) </t>
  </si>
  <si>
    <t xml:space="preserve">PROCISUR – EDICIÓN GÉNICA </t>
  </si>
  <si>
    <t>5.2.73</t>
  </si>
  <si>
    <t>INTEGRITY</t>
  </si>
  <si>
    <t xml:space="preserve">Carta Acuerdo INTA - FA - H2020 FERTIMANURE  </t>
  </si>
  <si>
    <t>Carta Acuerdo INTA - FA – REZATEC</t>
  </si>
  <si>
    <t>FTG- ATN/RR-18757-RG - EDICION GENICA</t>
  </si>
  <si>
    <t>FTG-ATN/RF-18786-RG - OXIDO NITROSO</t>
  </si>
  <si>
    <t>STE N° 2942 INTA-VETAL</t>
  </si>
  <si>
    <t>5.2.79</t>
  </si>
  <si>
    <t>The Nature Conservancy - Colecciones Nº 3, 4 y 5</t>
  </si>
  <si>
    <t>5.2.81</t>
  </si>
  <si>
    <t>C/A N° 4/2021 - INIDEP - IFOP</t>
  </si>
  <si>
    <t>5.2.82</t>
  </si>
  <si>
    <t>ACA- ATN/RR-18757-RG - EDICION GENICA</t>
  </si>
  <si>
    <t>5.2.83</t>
  </si>
  <si>
    <t>Contrato IAEA N° 25103</t>
  </si>
  <si>
    <t>5.2.84</t>
  </si>
  <si>
    <t>C/A INTA-FA Cabana</t>
  </si>
  <si>
    <t>5.2.85</t>
  </si>
  <si>
    <t>BUTANTAN</t>
  </si>
  <si>
    <t>5.2.86</t>
  </si>
  <si>
    <t>Donación ERM Foundation</t>
  </si>
  <si>
    <t>5.2.87</t>
  </si>
  <si>
    <t>H2020 - Se4All - GA N° 101007630</t>
  </si>
  <si>
    <t>5.2.88</t>
  </si>
  <si>
    <t>H2020 - BeXyl - GA N° 10106059</t>
  </si>
  <si>
    <t>5.2.89</t>
  </si>
  <si>
    <t>FTG- ATN/RF-18769-RG y ATN/RF-18770-RG.Secuestro de Carbono - Co Ejec INIA</t>
  </si>
  <si>
    <t>5.2.9</t>
  </si>
  <si>
    <t>Babet Real 5 Acta Acuerdo INTA-FA</t>
  </si>
  <si>
    <t>5.2.90</t>
  </si>
  <si>
    <t>Consultoría CIAT - FA</t>
  </si>
  <si>
    <t>5.2.91</t>
  </si>
  <si>
    <t>AECID - Resolución ELLAS+ Núm. 2022/SPE/0000400088</t>
  </si>
  <si>
    <t>AECID</t>
  </si>
  <si>
    <t>5.2.92</t>
  </si>
  <si>
    <t>Consultoría - CEPAL (Proyecto Facility)</t>
  </si>
  <si>
    <t>TABLAS</t>
  </si>
  <si>
    <t>Componentes/Productos/Actividades</t>
  </si>
  <si>
    <t xml:space="preserve">codigo </t>
  </si>
  <si>
    <t>Rubros presupuestarios</t>
  </si>
  <si>
    <t>validación adjuntos</t>
  </si>
  <si>
    <t>1.1</t>
  </si>
  <si>
    <t>Fontagro</t>
  </si>
  <si>
    <t>SI</t>
  </si>
  <si>
    <t>FONTAGRO- Consultores</t>
  </si>
  <si>
    <t>NO</t>
  </si>
  <si>
    <t>1.3</t>
  </si>
  <si>
    <t>FONTAGRO -Bienes y Servicios</t>
  </si>
  <si>
    <t>1.4</t>
  </si>
  <si>
    <t>FONTAGRO- Materiales e Insumos</t>
  </si>
  <si>
    <t>validación pasajes</t>
  </si>
  <si>
    <t>1.5</t>
  </si>
  <si>
    <t>FONTAGRO-Viajes y Viaticos</t>
  </si>
  <si>
    <t>AEREO</t>
  </si>
  <si>
    <t>1.6</t>
  </si>
  <si>
    <t>FONTAGRO-Capacitacion</t>
  </si>
  <si>
    <t>MICRO</t>
  </si>
  <si>
    <t>1.7</t>
  </si>
  <si>
    <t>FONTAGRO-Gestión del Conocimiento</t>
  </si>
  <si>
    <t>BARCO</t>
  </si>
  <si>
    <t>1.8</t>
  </si>
  <si>
    <t>FONTAGRO-Gastos Administrativos</t>
  </si>
  <si>
    <t>TREN</t>
  </si>
  <si>
    <t>1.9</t>
  </si>
  <si>
    <t>FONTAGRO-Auditoría Externa</t>
  </si>
  <si>
    <t>2.1</t>
  </si>
  <si>
    <t>Horiz2020</t>
  </si>
  <si>
    <t>2.2</t>
  </si>
  <si>
    <t>EU H2O2O-Direct Personnel Cost</t>
  </si>
  <si>
    <t>2.3</t>
  </si>
  <si>
    <t>EU H2O2O-Other Direct Cots Travel</t>
  </si>
  <si>
    <t>2.4</t>
  </si>
  <si>
    <t>EU H2O2O-Other Direct Cots Equipment</t>
  </si>
  <si>
    <t>2.5</t>
  </si>
  <si>
    <t>EU H2O2O-Other Direct Cots Other G&amp;S</t>
  </si>
  <si>
    <t>2.6</t>
  </si>
  <si>
    <t>EU H2O2O-Ditect Costs of Subcontracting</t>
  </si>
  <si>
    <t>3.1</t>
  </si>
  <si>
    <t xml:space="preserve">EU H2O2O-Indirect costs
</t>
  </si>
  <si>
    <t>3.2</t>
  </si>
  <si>
    <t>Procisur</t>
  </si>
  <si>
    <t>3.3</t>
  </si>
  <si>
    <t>PROCISUR -Consultores</t>
  </si>
  <si>
    <t>3.4</t>
  </si>
  <si>
    <t>PROCISUR -Bienes y Servicios</t>
  </si>
  <si>
    <t>3.5</t>
  </si>
  <si>
    <t>PROCISUR -Materiales e Insumos</t>
  </si>
  <si>
    <t>3.6</t>
  </si>
  <si>
    <t>PROCISUR -Viajes y Viaticos</t>
  </si>
  <si>
    <t>4.1</t>
  </si>
  <si>
    <t>PROCISUR -Capacitacion</t>
  </si>
  <si>
    <t>4.2</t>
  </si>
  <si>
    <t>PROCISUR -Gestión del Conocimiento</t>
  </si>
  <si>
    <t>4.3</t>
  </si>
  <si>
    <t>PROCISUR -Gastos Administrativos</t>
  </si>
  <si>
    <t>4.4</t>
  </si>
  <si>
    <t>4.5</t>
  </si>
  <si>
    <t>AECID-Gastos corrientes</t>
  </si>
  <si>
    <t>4.6</t>
  </si>
  <si>
    <t>AECID-Bienes inventariables</t>
  </si>
  <si>
    <t>AECID-Gastos bancarios</t>
  </si>
  <si>
    <t>AECID-Gastos indirectos/administrativos</t>
  </si>
  <si>
    <t>AECID- Auditorías</t>
  </si>
  <si>
    <t>OTROS -Consultores / Contratos / RRHH</t>
  </si>
  <si>
    <t>OTROS -Bienes inventariables</t>
  </si>
  <si>
    <t>OTROS -Gastos operativos (incluye: servicios, materiales, insumos, viajes y viaticos, capacitación, comunicación)</t>
  </si>
  <si>
    <t>OTROS -Asistencia Técnica- FAT</t>
  </si>
  <si>
    <t>OTROS -Gastos Administrativos/Indirectos</t>
  </si>
  <si>
    <t>OTROS -Auditoria Externa</t>
  </si>
  <si>
    <t>OTROS -Otros/imprevistos</t>
  </si>
  <si>
    <t>Código de Proyecto:</t>
  </si>
  <si>
    <t>Monto a reintegrar:</t>
  </si>
  <si>
    <t>Completar solo para Viáticos</t>
  </si>
  <si>
    <t>Origen</t>
  </si>
  <si>
    <t>Destino</t>
  </si>
  <si>
    <t>Fecha Origen</t>
  </si>
  <si>
    <t>Hora Origen</t>
  </si>
  <si>
    <t>Hora Finalización</t>
  </si>
  <si>
    <t>Medio de Transporte</t>
  </si>
  <si>
    <t>Importe en Pesos</t>
  </si>
  <si>
    <t>Fecha Finalización</t>
  </si>
  <si>
    <t>Coordinador</t>
  </si>
  <si>
    <t>Fuente de Financiamiento:</t>
  </si>
  <si>
    <t>Beneficiario del Anticipo:</t>
  </si>
  <si>
    <t>CUIT / CUIL del Beneficiario:</t>
  </si>
  <si>
    <t>Adjuntar Constancia de Datos Bancarios</t>
  </si>
  <si>
    <t>Descripción de la actividad a desarrollar:</t>
  </si>
  <si>
    <t>Importe en USD / Euros</t>
  </si>
  <si>
    <t>Importe en otra Moneda Extranjera</t>
  </si>
  <si>
    <t>USD</t>
  </si>
  <si>
    <t>Liquidación de Viáticos en PESOS</t>
  </si>
  <si>
    <t>Valor diario</t>
  </si>
  <si>
    <t>Monto liquidado</t>
  </si>
  <si>
    <t>Moneda de pago</t>
  </si>
  <si>
    <t>Cant de días solicitados</t>
  </si>
  <si>
    <t>Liquidación de Viáticos en USD / Euros</t>
  </si>
  <si>
    <t>Euros</t>
  </si>
  <si>
    <t>Reintegro de Gastos / Viáticos</t>
  </si>
  <si>
    <t>* Se deberá:</t>
  </si>
  <si>
    <t>b. Adjuntar toda la documentación respaldatoria de los gastos efectuados (facturas, constancias de pago, peajes, tickets, combustible, etc.).</t>
  </si>
  <si>
    <t xml:space="preserve">*  Las facturas deberán ser tipo “B” o “C” a nombre de Fundación ArgenINTA, CUIT: 30-67630365-7, IVA Exento, Dirección: Av. Cerviño 3101 – 1º Piso – CP1425AGA – Ciudad de Buenos Aires. </t>
  </si>
  <si>
    <t xml:space="preserve">b. Adjuntar toda la documentación respaldatoria que acredite la efectiva realización de la comisión:  Boarding pass, constancias de viaje (comprobantes de gastos realizados en el lugar de la comisión por cada uno de los días de duración), FOESC, etc. </t>
  </si>
  <si>
    <t>Reintegro de Viáticos</t>
  </si>
  <si>
    <t>* El Responsable Técnico remitirá el formulario y los comprobantes de respaldo vía GYSDOC, dirigido al Área de Vinculación Internacional. O bien, será enviado por el Beneficiario, contando con el aval del Resp. Tecn, registrado y/o expresado dentro de la trazabilidad del trámite.</t>
  </si>
  <si>
    <t>a. Presentar la solicitud de reintegro dentro de las 72 hs. Hábiles de haber efectuado los gastos</t>
  </si>
  <si>
    <t>a. Presentar la solicitud de reintegro dentro de las 72 hs. Hábiles de realizada la comisión</t>
  </si>
  <si>
    <t>* El Responsable Técnico remitirá el formulario y dococumentación de respaldo vía GYSDOC, dirigido al Área de Vinculación Internacional. O bien, será enviado por el Beneficiario, contando con el aval del Resp. Tecn., registrado y/o expresado dentro de la trazabilidad del trámite.</t>
  </si>
  <si>
    <t>* Todo gasto debe estar contemplado en el Plan de Actividades (Plan Operativo Anual, Plan de Adquisiciones, Presupuesto, etc.) vigente al momento de llevar a cabo la actividad para la cual se solicita.</t>
  </si>
  <si>
    <t>Los “Reintegros” son sumas a recuperar por los beneficiarios por conceptos abonados. Estos deben ser respaldados por comprobantes.</t>
  </si>
  <si>
    <t>Reintegro de Fondos</t>
  </si>
  <si>
    <t>*Se utiliza para:</t>
  </si>
  <si>
    <t>a. Aquellas erogaciones que no se realicen a través de procedimientos específicos (combustible, peajes, etc.).</t>
  </si>
  <si>
    <t>b. Adquisiciones, que por razones de necesidad, practicidad o urgencia resulta más factible y/o conveniente que sean efectuadas localmente por los beneficiarios directos de tales acciones vinculadas al Proyecto.</t>
  </si>
  <si>
    <t>* Los beneficiarios de los reintegros solo podrán ser participantes del Proyecto</t>
  </si>
  <si>
    <t>* Se deberá enviar una solicitud por cada imputación presupuestaria de gastos definida en el Proyecto.</t>
  </si>
  <si>
    <t>* Viático:</t>
  </si>
  <si>
    <t>Es la asignación diaria fija que se paga para atender todos los gastos en concepto de “alojamiento y comida”, con exclusión de los gastos de movilidad y pasajes, que ocasione el desempeño de una comisión de servicio en un lugar alejado a más de cincuenta (50) kilómetros de su asiento habitual. Corresponde el pago de viáticos a toda aquella persona que desarrolle una actividad inherente al Proyecto en una localidad distinta a la de su lugar habitual de trabajo</t>
  </si>
  <si>
    <t>c. En caso de corresponder se podrá solicitar un informe de actividades de la comisión realizada.</t>
  </si>
  <si>
    <t>Actividad</t>
  </si>
  <si>
    <t>E-mail de contacto del Beneficiario:</t>
  </si>
  <si>
    <t>* La modalidad para el pago de viáticos surge de:</t>
  </si>
  <si>
    <t>a. Normas o disposiciones del Organismo Donante o Financiador</t>
  </si>
  <si>
    <t>b. En su ausencia:</t>
  </si>
  <si>
    <t>b1. Normas o Disposiciones de la Contraparte o Beneficiaria del Proyecto. Ej: Normativa INTA</t>
  </si>
  <si>
    <t>b2. Normas o Disposiciones de la Fundación ArgenINTA (Reintegro de gastos)</t>
  </si>
  <si>
    <t>5.2.29</t>
  </si>
  <si>
    <t>5.2.30</t>
  </si>
  <si>
    <t>5.2.31</t>
  </si>
  <si>
    <t>5.2.34</t>
  </si>
  <si>
    <t>5.2.35</t>
  </si>
  <si>
    <t>5.2.36</t>
  </si>
  <si>
    <t>5.2.38</t>
  </si>
  <si>
    <t>5.2.39</t>
  </si>
  <si>
    <t>5.2.43</t>
  </si>
  <si>
    <t>5.2.44</t>
  </si>
  <si>
    <t>5.2.48</t>
  </si>
  <si>
    <t>5.2.53</t>
  </si>
  <si>
    <t>5.2.55</t>
  </si>
  <si>
    <t>5.2.56</t>
  </si>
  <si>
    <t>5.2.57</t>
  </si>
  <si>
    <t>5.2.58</t>
  </si>
  <si>
    <t>5.2.59</t>
  </si>
  <si>
    <t>5.2.61</t>
  </si>
  <si>
    <t>5.2.62</t>
  </si>
  <si>
    <t>5.2.63</t>
  </si>
  <si>
    <t>5.2.64</t>
  </si>
  <si>
    <t>5.2.68</t>
  </si>
  <si>
    <t>5.2.69</t>
  </si>
  <si>
    <t>5.2.71</t>
  </si>
  <si>
    <t>5.2.72</t>
  </si>
  <si>
    <t>5.2.74</t>
  </si>
  <si>
    <t>5.2.75</t>
  </si>
  <si>
    <t>5.2.76</t>
  </si>
  <si>
    <t>5.2.77</t>
  </si>
  <si>
    <t>5.2.78</t>
  </si>
  <si>
    <t>5.2.93</t>
  </si>
  <si>
    <t>IAEA N° 24797</t>
  </si>
  <si>
    <t>5.2.94</t>
  </si>
  <si>
    <t xml:space="preserve">FTG - Monitoreo satelital de cantidad y calidad de biomasa disponible en sistemas ganaderos pastoriles de ALC </t>
  </si>
  <si>
    <t>5.2.95</t>
  </si>
  <si>
    <t>5.2.96</t>
  </si>
  <si>
    <t>Distinción franco - argentina - IFA</t>
  </si>
  <si>
    <t>5.2.97</t>
  </si>
  <si>
    <t xml:space="preserve">OEA - MINCYT </t>
  </si>
  <si>
    <t>5.2.98</t>
  </si>
  <si>
    <t xml:space="preserve">Consultoría - PROGREEN (Banco Mundial) </t>
  </si>
  <si>
    <t>5.2.99</t>
  </si>
  <si>
    <t>Contrato de consultoría ICTA - Guatemala</t>
  </si>
  <si>
    <t>Informe de Actividad</t>
  </si>
  <si>
    <t xml:space="preserve">El presente documento cumple en informar las acciones desarrolladas con motivo de realizar el control y seguimiento de las mismas. </t>
  </si>
  <si>
    <t xml:space="preserve">Nombre del Proyecto </t>
  </si>
  <si>
    <r>
      <rPr>
        <b/>
        <sz val="11"/>
        <color theme="1"/>
        <rFont val="Calibri"/>
        <family val="2"/>
        <scheme val="minor"/>
      </rPr>
      <t xml:space="preserve">Fecha de realización de la actividad </t>
    </r>
    <r>
      <rPr>
        <sz val="11"/>
        <color theme="1"/>
        <rFont val="Calibri"/>
        <family val="2"/>
        <scheme val="minor"/>
      </rPr>
      <t>(Indicar fecha y hora)</t>
    </r>
  </si>
  <si>
    <t>Personal Involucrado en la Actividad</t>
  </si>
  <si>
    <t>Ubicación d la Actividad</t>
  </si>
  <si>
    <t>Distancia Unidad INTA Sede de Personal Asistente</t>
  </si>
  <si>
    <t>Objetivos de la Actividad</t>
  </si>
  <si>
    <t>Acciones realizadas en la actividad</t>
  </si>
  <si>
    <t>Componente del Proyecto</t>
  </si>
  <si>
    <t>Actividad del Proyecto</t>
  </si>
  <si>
    <t>Producto del Proyecto</t>
  </si>
  <si>
    <t>Resultados y Conclusiones</t>
  </si>
  <si>
    <r>
      <t>Recomendaciones y Comentarios</t>
    </r>
    <r>
      <rPr>
        <b/>
        <sz val="8"/>
        <color theme="1"/>
        <rFont val="Calibri"/>
        <family val="2"/>
        <scheme val="minor"/>
      </rPr>
      <t>[1]</t>
    </r>
    <r>
      <rPr>
        <b/>
        <sz val="11"/>
        <color theme="1"/>
        <rFont val="Calibri"/>
        <family val="2"/>
        <scheme val="minor"/>
      </rPr>
      <t>:</t>
    </r>
  </si>
  <si>
    <t>……………………………………………………</t>
  </si>
  <si>
    <t>.</t>
  </si>
  <si>
    <t>…………………………………………………..</t>
  </si>
  <si>
    <r>
      <t xml:space="preserve">Firma Responsable Actividad </t>
    </r>
    <r>
      <rPr>
        <sz val="8"/>
        <color theme="1"/>
        <rFont val="Calibri"/>
        <family val="2"/>
        <scheme val="minor"/>
      </rPr>
      <t>[2]</t>
    </r>
  </si>
  <si>
    <r>
      <t xml:space="preserve">Firma Coordinador Técnico </t>
    </r>
    <r>
      <rPr>
        <sz val="8"/>
        <color theme="1"/>
        <rFont val="Calibri"/>
        <family val="2"/>
        <scheme val="minor"/>
      </rPr>
      <t>[2]</t>
    </r>
  </si>
  <si>
    <r>
      <rPr>
        <sz val="8"/>
        <color theme="1"/>
        <rFont val="Calibri"/>
        <family val="2"/>
        <scheme val="minor"/>
      </rPr>
      <t>[1]</t>
    </r>
    <r>
      <rPr>
        <sz val="11"/>
        <color theme="1"/>
        <rFont val="Calibri"/>
        <family val="2"/>
        <scheme val="minor"/>
      </rPr>
      <t xml:space="preserve"> En caso de Taller o Jornada se deberá anexar listado de Participantes y Temario. </t>
    </r>
  </si>
  <si>
    <t xml:space="preserve">     Se pueden anexar Fotos o material considerado pertinente</t>
  </si>
  <si>
    <r>
      <rPr>
        <sz val="8"/>
        <color theme="1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 xml:space="preserve"> Las firmas del Responsable de la actividad y del Coordinar Técnico son obligatorias</t>
    </r>
  </si>
  <si>
    <t>FICHA IDENTIFICACION FINANCIERA (1)</t>
  </si>
  <si>
    <t>(Datos para transferencia bancaria fuera de Argentina)</t>
  </si>
  <si>
    <t>DATOS TITULAR DE CUENTA</t>
  </si>
  <si>
    <t>NOMBRE COMPLETO</t>
  </si>
  <si>
    <t>CUIT/CUIL</t>
  </si>
  <si>
    <t>DOMICILIO</t>
  </si>
  <si>
    <t>DATOS CUENTA BANCARIA</t>
  </si>
  <si>
    <t>NOMBRE DEL BANCO</t>
  </si>
  <si>
    <t xml:space="preserve">SUCURSAL/CÓDIGO BANCO  </t>
  </si>
  <si>
    <t xml:space="preserve">DOMICILIO COMPLETO DEL BANCO          </t>
  </si>
  <si>
    <t>CIUDAD/PAIS</t>
  </si>
  <si>
    <t xml:space="preserve">TIPO DE CUENTA </t>
  </si>
  <si>
    <t xml:space="preserve">MONEDA/DIVISA DE LA CUENTA </t>
  </si>
  <si>
    <t xml:space="preserve">NÚMERO DE CUENTA </t>
  </si>
  <si>
    <t xml:space="preserve">CÓDIGO SWIFT/BIC </t>
  </si>
  <si>
    <t>……………………………………………………………….</t>
  </si>
  <si>
    <t>FIRMA DEL TITULAR DE LA CUENTA</t>
  </si>
  <si>
    <t>(1) Se deberá adjuntar copia del extracto de cuenta o constancia de datos bancarios</t>
  </si>
  <si>
    <r>
      <rPr>
        <sz val="11"/>
        <color theme="1"/>
        <rFont val="Calibri"/>
        <family val="2"/>
        <scheme val="minor"/>
      </rPr>
      <t>[2] Completar para cuentas bancarias radicadas en la Unión Europea</t>
    </r>
  </si>
  <si>
    <r>
      <rPr>
        <sz val="11"/>
        <color theme="1"/>
        <rFont val="Calibri"/>
        <family val="2"/>
        <scheme val="minor"/>
      </rPr>
      <t>[3] Completar para cuentas bancarias randicadas en EE.UU.</t>
    </r>
  </si>
  <si>
    <r>
      <t xml:space="preserve">IBAN </t>
    </r>
    <r>
      <rPr>
        <sz val="8"/>
        <color theme="1"/>
        <rFont val="Calibri"/>
        <family val="2"/>
        <scheme val="minor"/>
      </rPr>
      <t>[2]</t>
    </r>
  </si>
  <si>
    <r>
      <t>ABA</t>
    </r>
    <r>
      <rPr>
        <sz val="9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[3]</t>
    </r>
  </si>
  <si>
    <t>FECHA……../……../……………</t>
  </si>
  <si>
    <t>5.2.100</t>
  </si>
  <si>
    <t>STE Dollvet</t>
  </si>
  <si>
    <t>5.2.101</t>
  </si>
  <si>
    <t>CRDF GLOBAL - Grant Agreement N° G-202302-69885</t>
  </si>
  <si>
    <t>5.2.102</t>
  </si>
  <si>
    <t>C/A INTA - F.A. CONSULTORIA FCFP</t>
  </si>
  <si>
    <t>AUTO</t>
  </si>
  <si>
    <t>5.2.27</t>
  </si>
  <si>
    <t>Contrato de investigación Nº 23402  INTA – IAEA</t>
  </si>
  <si>
    <t>5.2.65</t>
  </si>
  <si>
    <t>FTG - Leguminosas MPI NZ</t>
  </si>
  <si>
    <t>5.2.103</t>
  </si>
  <si>
    <t>GFRA/CRDF - Mansilla</t>
  </si>
  <si>
    <t>5.2.104</t>
  </si>
  <si>
    <t>GFRA/CRDF - Konig</t>
  </si>
  <si>
    <t>5.2.105</t>
  </si>
  <si>
    <t>Contrato Global Factor</t>
  </si>
  <si>
    <t>5.2.106</t>
  </si>
  <si>
    <t>CRDF GLOBAL C70039</t>
  </si>
  <si>
    <t>5.2.107</t>
  </si>
  <si>
    <t>C/A INTA - FA - Univ. De Georgia</t>
  </si>
  <si>
    <t>5.2.108</t>
  </si>
  <si>
    <t>FTG - Bienestar Fincas Ganaderas</t>
  </si>
  <si>
    <t>5.2.109</t>
  </si>
  <si>
    <t>FTG - Ganadería Comunidades Mapuches</t>
  </si>
  <si>
    <t>5.2.110</t>
  </si>
  <si>
    <t>FTG - MPI - Ganadería Comunidades Mapuches</t>
  </si>
  <si>
    <t>5.2.111</t>
  </si>
  <si>
    <t>FTG - Red de Fincas</t>
  </si>
  <si>
    <t>5.2.112</t>
  </si>
  <si>
    <t>C/A INTA FA-Regante</t>
  </si>
  <si>
    <t>5.2.113</t>
  </si>
  <si>
    <t>Acuerdo Universidad Naciones Unidas</t>
  </si>
  <si>
    <t>5.2.114</t>
  </si>
  <si>
    <t>Emory</t>
  </si>
  <si>
    <t>5.2.115</t>
  </si>
  <si>
    <t>INTA-FA Frutales</t>
  </si>
  <si>
    <t>5.2.116</t>
  </si>
  <si>
    <t>Co-ejecución FTG Rumiantes</t>
  </si>
  <si>
    <t>5.2.117</t>
  </si>
  <si>
    <t>Acuerdo de Cooperación Bioma</t>
  </si>
  <si>
    <t>5.2.118</t>
  </si>
  <si>
    <t>FTG-Fondo Semilla HLB</t>
  </si>
  <si>
    <t>5.2.119</t>
  </si>
  <si>
    <t>C. A. INTA - F.A. - Phy2Climate (H2020)</t>
  </si>
  <si>
    <t>5.2.120</t>
  </si>
  <si>
    <t>Consultoría BID - INA</t>
  </si>
  <si>
    <t>5.2.121</t>
  </si>
  <si>
    <t>Co-ejecución INIA Chile Uso Nitrógeno</t>
  </si>
  <si>
    <t>5.2.122</t>
  </si>
  <si>
    <t>Acuerdo USDA Immunogenicity</t>
  </si>
  <si>
    <t>5.2.123</t>
  </si>
  <si>
    <t>C/A INTA-FA BeXyl</t>
  </si>
  <si>
    <t>5.2.124</t>
  </si>
  <si>
    <t>FAJ - FA</t>
  </si>
  <si>
    <t>5.2.125</t>
  </si>
  <si>
    <t>STE 2604 CENIPALMA</t>
  </si>
  <si>
    <t>5.2.126</t>
  </si>
  <si>
    <t>Acuerdo Univ. de Belfast</t>
  </si>
  <si>
    <t>5.2.127</t>
  </si>
  <si>
    <t>Consultoría BID RG-T4294-P001 - Plataforma Pueblos</t>
  </si>
  <si>
    <t>5.2.128</t>
  </si>
  <si>
    <t>Consultoría BID RG-T4260-P001 - Actualización Imve</t>
  </si>
  <si>
    <t>5.2.129</t>
  </si>
  <si>
    <t>C/A 1/25 INIDEP - FA Donación Schmidt Sciences</t>
  </si>
  <si>
    <t>5.2.130</t>
  </si>
  <si>
    <t>CA INTA-FAO Proyecto PPR REDD+</t>
  </si>
  <si>
    <t>Componente</t>
  </si>
  <si>
    <t>Fuente</t>
  </si>
  <si>
    <t>“FONDO SEMILLA - Enabling Indigenous Climate Smart Agriculture Resilience in the Latin America and Caribbean Region”</t>
  </si>
  <si>
    <t>5.2.131</t>
  </si>
  <si>
    <t>CA FAO-INTA Balance de C en MBGI</t>
  </si>
  <si>
    <t>5.2.132</t>
  </si>
  <si>
    <t>C/A INTA H2020 ProCEedS</t>
  </si>
  <si>
    <t>5.2.133</t>
  </si>
  <si>
    <t>FAO - Cuenca Forestal Caimancito LOA/FAOAR/PPR/037</t>
  </si>
  <si>
    <t>5.2.134</t>
  </si>
  <si>
    <t>Consultoría BID #RG-4500-P003 Indicadores de Sostenibilidad de la Ganaderia Bovina</t>
  </si>
  <si>
    <t>5.2.135</t>
  </si>
  <si>
    <t>H2020 MSCA-RISE: TRACEWINDU</t>
  </si>
  <si>
    <t>5.2.136</t>
  </si>
  <si>
    <t>Consultoria BID  RG-T4260-P003 Cons. Agroecosistemas</t>
  </si>
  <si>
    <t>5.2.137</t>
  </si>
  <si>
    <t>FAO Grupo Bosque Zomo - Neuquen</t>
  </si>
  <si>
    <t>5.2.138</t>
  </si>
  <si>
    <t>FAO TCP/RLA/4005</t>
  </si>
  <si>
    <t>5.2.139</t>
  </si>
  <si>
    <t>FAO CDA Jujuy MBGI INTA</t>
  </si>
  <si>
    <t>5.2.140</t>
  </si>
  <si>
    <t>FAO - CDA Tucumán MBGI INTA</t>
  </si>
  <si>
    <t>5.2.141</t>
  </si>
  <si>
    <t>FAO - Plan Manejo de Bosques Neuquén</t>
  </si>
  <si>
    <t>5.2.142</t>
  </si>
  <si>
    <t>Consultoría Fundación Vida Silvestre</t>
  </si>
  <si>
    <t>5.2.143</t>
  </si>
  <si>
    <t>FAO - MBGI Río Negro</t>
  </si>
  <si>
    <t>5.2.144</t>
  </si>
  <si>
    <t>FAO-MBGI-BUENOS AIRES</t>
  </si>
  <si>
    <t>5.2.145</t>
  </si>
  <si>
    <t>Co-Ejec. ATN/RF-21533-RG Sist. Pastoriles</t>
  </si>
  <si>
    <t>5.2.146</t>
  </si>
  <si>
    <t>CurveBend-NWO</t>
  </si>
  <si>
    <t>5.2.147</t>
  </si>
  <si>
    <t>ATN/ RF- 21539- RG PAPA Y SEMILLA</t>
  </si>
  <si>
    <t>5.2.148</t>
  </si>
  <si>
    <t>FAO - INTA MBGI Santiago del Estero</t>
  </si>
  <si>
    <t>5.2.149</t>
  </si>
  <si>
    <t>TECHNOSERVE - MOZAMBIQUE -</t>
  </si>
  <si>
    <t>5.2.150</t>
  </si>
  <si>
    <t>ATN/RF 21532 - RG SIST. PRODUCTIVOS</t>
  </si>
  <si>
    <t>5.2.151</t>
  </si>
  <si>
    <t>IICA-F.A.-FIDA Raíces</t>
  </si>
  <si>
    <t>5.2.152</t>
  </si>
  <si>
    <t>INA.SC.LH.PROY.1919 - PROT N° 1919 "UNQ CA 60/25"</t>
  </si>
  <si>
    <t>5.2.153</t>
  </si>
  <si>
    <t>FAO - Lapacho Argentina</t>
  </si>
  <si>
    <t>5.2.154</t>
  </si>
  <si>
    <t>G.M.H. - Gran Chaco Ganadero</t>
  </si>
  <si>
    <t>5.2.155</t>
  </si>
  <si>
    <t>Consultoria PNUD Acceso al Agua en el Gran Chaco</t>
  </si>
  <si>
    <t>5.2.156</t>
  </si>
  <si>
    <t>C/A INTA - Consultoría CIAT - FA</t>
  </si>
  <si>
    <t>5.2.157</t>
  </si>
  <si>
    <t>FAO - CDA MBGI Quimili</t>
  </si>
  <si>
    <t>5.2.158</t>
  </si>
  <si>
    <t>FAO - CDA MBGI INTA Chubut</t>
  </si>
  <si>
    <t>5.2.159</t>
  </si>
  <si>
    <t>FAO - CDA MBGI RIO 01 y 03-La Rioja</t>
  </si>
  <si>
    <t>5.2.160</t>
  </si>
  <si>
    <t>FAO - CDA MBGI RIO 02 -La Rioja</t>
  </si>
  <si>
    <t>5.2.161</t>
  </si>
  <si>
    <t>FAO - CDA PIC INTA Tucumán - Los Sotelo</t>
  </si>
  <si>
    <t>5.2.162</t>
  </si>
  <si>
    <t>FAO - CDA PIC INTA SdE-Algarrobales</t>
  </si>
  <si>
    <t>5.2.163</t>
  </si>
  <si>
    <t>10.INA.SC.LH.PROY.1925</t>
  </si>
  <si>
    <t>5.2.164</t>
  </si>
  <si>
    <t>FAO - CDA PIC INTA La Rioja-Ambil</t>
  </si>
  <si>
    <t>5.2.165</t>
  </si>
  <si>
    <t>FAO - CDA PIC INTA La Rioja-La Aguadita</t>
  </si>
  <si>
    <t>5.2.166</t>
  </si>
  <si>
    <t>CDA PIC INTA La Rioja - Los Bordos</t>
  </si>
  <si>
    <t>5.2.167</t>
  </si>
  <si>
    <t>CDA PIC INTA Chubut - Lago Rosario y Sierra Colorada</t>
  </si>
  <si>
    <t>5.2.168</t>
  </si>
  <si>
    <t>CDA PIC INTA La Rioja - La Cortada</t>
  </si>
  <si>
    <t>5.2.169</t>
  </si>
  <si>
    <t>CDA PIC INTA Santiago del Estero- Santo Domingo PIC SDE 048</t>
  </si>
  <si>
    <t>5.2.170</t>
  </si>
  <si>
    <t>CDA PIC INTA Sgo. del Estero- El Hoyo</t>
  </si>
  <si>
    <t>5.2.171</t>
  </si>
  <si>
    <t>CDA PIC INTA Santiago del Estero- San Francisco</t>
  </si>
  <si>
    <t>5.2.172</t>
  </si>
  <si>
    <t>CDA PIC INTA Chubut - El Turbio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</si>
</sst>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$-3009]#,##0.00"/>
    <numFmt numFmtId="165" formatCode="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indexed="30"/>
      <name val="SansSerif"/>
    </font>
    <font>
      <sz val="8"/>
      <color indexed="8"/>
      <name val="SansSerif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SansSerif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7" fillId="0" borderId="0"/>
  </cellStyleXfs>
  <cellXfs count="156">
    <xf numFmtId="0" fontId="0" fillId="0" borderId="0" xfId="0"/>
    <xf numFmtId="0" fontId="0" fillId="2" borderId="0" xfId="0" applyFill="1"/>
    <xf numFmtId="0" fontId="0" fillId="0" borderId="0" xfId="0" applyAlignment="1">
      <alignment horizontal="center" wrapText="1"/>
    </xf>
    <xf numFmtId="0" fontId="1" fillId="0" borderId="3" xfId="0" applyFont="1" applyBorder="1"/>
    <xf numFmtId="0" fontId="0" fillId="0" borderId="3" xfId="0" applyBorder="1"/>
    <xf numFmtId="0" fontId="0" fillId="0" borderId="0" xfId="0" applyAlignment="1">
      <alignment wrapText="1"/>
    </xf>
    <xf numFmtId="49" fontId="0" fillId="0" borderId="1" xfId="0" applyNumberFormat="1" applyBorder="1"/>
    <xf numFmtId="0" fontId="1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10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10" fillId="2" borderId="0" xfId="0" applyFont="1" applyFill="1" applyAlignment="1">
      <alignment horizontal="center"/>
    </xf>
    <xf numFmtId="0" fontId="0" fillId="2" borderId="10" xfId="0" applyFill="1" applyBorder="1"/>
    <xf numFmtId="0" fontId="10" fillId="2" borderId="10" xfId="0" applyFont="1" applyFill="1" applyBorder="1" applyAlignment="1">
      <alignment horizontal="center"/>
    </xf>
    <xf numFmtId="0" fontId="8" fillId="2" borderId="0" xfId="0" applyFont="1" applyFill="1" applyAlignment="1">
      <alignment vertical="top"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1" fillId="0" borderId="0" xfId="0" applyFont="1"/>
    <xf numFmtId="0" fontId="1" fillId="4" borderId="24" xfId="0" applyFont="1" applyFill="1" applyBorder="1"/>
    <xf numFmtId="0" fontId="0" fillId="0" borderId="8" xfId="0" applyBorder="1"/>
    <xf numFmtId="0" fontId="0" fillId="2" borderId="3" xfId="0" applyFill="1" applyBorder="1" applyProtection="1">
      <protection locked="0"/>
    </xf>
    <xf numFmtId="4" fontId="0" fillId="2" borderId="3" xfId="0" applyNumberFormat="1" applyFill="1" applyBorder="1" applyProtection="1">
      <protection locked="0"/>
    </xf>
    <xf numFmtId="1" fontId="0" fillId="2" borderId="3" xfId="0" applyNumberFormat="1" applyFill="1" applyBorder="1" applyProtection="1">
      <protection locked="0"/>
    </xf>
    <xf numFmtId="14" fontId="0" fillId="2" borderId="3" xfId="0" applyNumberFormat="1" applyFill="1" applyBorder="1" applyProtection="1"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164" fontId="1" fillId="0" borderId="3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1" fontId="1" fillId="0" borderId="3" xfId="0" applyNumberFormat="1" applyFont="1" applyBorder="1" applyAlignment="1" applyProtection="1">
      <alignment horizontal="center"/>
      <protection locked="0"/>
    </xf>
    <xf numFmtId="20" fontId="0" fillId="0" borderId="3" xfId="0" applyNumberFormat="1" applyBorder="1" applyAlignment="1" applyProtection="1">
      <alignment horizontal="center"/>
      <protection locked="0"/>
    </xf>
    <xf numFmtId="4" fontId="1" fillId="2" borderId="3" xfId="0" applyNumberFormat="1" applyFont="1" applyFill="1" applyBorder="1"/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14" fontId="0" fillId="2" borderId="0" xfId="0" applyNumberFormat="1" applyFill="1" applyProtection="1">
      <protection locked="0"/>
    </xf>
    <xf numFmtId="0" fontId="1" fillId="2" borderId="0" xfId="0" applyFont="1" applyFill="1" applyAlignment="1" applyProtection="1">
      <alignment horizontal="left" wrapText="1"/>
      <protection locked="0"/>
    </xf>
    <xf numFmtId="0" fontId="0" fillId="2" borderId="0" xfId="0" applyFill="1" applyAlignment="1" applyProtection="1">
      <alignment horizontal="left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1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Protection="1">
      <protection locked="0"/>
    </xf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14" fontId="1" fillId="4" borderId="7" xfId="0" applyNumberFormat="1" applyFont="1" applyFill="1" applyBorder="1" applyAlignment="1" applyProtection="1">
      <alignment horizontal="center"/>
      <protection locked="0"/>
    </xf>
    <xf numFmtId="14" fontId="1" fillId="4" borderId="8" xfId="0" applyNumberFormat="1" applyFont="1" applyFill="1" applyBorder="1" applyAlignment="1" applyProtection="1">
      <alignment horizontal="center"/>
      <protection locked="0"/>
    </xf>
    <xf numFmtId="4" fontId="1" fillId="4" borderId="3" xfId="0" applyNumberFormat="1" applyFont="1" applyFill="1" applyBorder="1"/>
    <xf numFmtId="0" fontId="16" fillId="2" borderId="3" xfId="0" applyFont="1" applyFill="1" applyBorder="1" applyAlignment="1">
      <alignment horizontal="left" vertical="center" wrapText="1"/>
    </xf>
    <xf numFmtId="165" fontId="1" fillId="0" borderId="3" xfId="0" applyNumberFormat="1" applyFont="1" applyBorder="1" applyAlignment="1" applyProtection="1">
      <alignment horizontal="center"/>
      <protection locked="0"/>
    </xf>
    <xf numFmtId="0" fontId="4" fillId="2" borderId="3" xfId="0" applyFont="1" applyFill="1" applyBorder="1" applyAlignment="1">
      <alignment horizontal="left" vertical="center"/>
    </xf>
    <xf numFmtId="0" fontId="1" fillId="0" borderId="3" xfId="0" applyFont="1" applyBorder="1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left"/>
      <protection locked="0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5" fillId="0" borderId="3" xfId="1" applyBorder="1" applyAlignment="1" applyProtection="1">
      <alignment horizontal="left"/>
      <protection locked="0"/>
    </xf>
    <xf numFmtId="0" fontId="1" fillId="4" borderId="4" xfId="0" applyFont="1" applyFill="1" applyBorder="1" applyAlignment="1" applyProtection="1">
      <alignment horizontal="left"/>
      <protection locked="0"/>
    </xf>
    <xf numFmtId="0" fontId="1" fillId="4" borderId="5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0" fillId="2" borderId="0" xfId="0" applyFill="1" applyAlignment="1">
      <alignment horizontal="left" wrapText="1"/>
    </xf>
    <xf numFmtId="0" fontId="0" fillId="2" borderId="10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9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1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1" fillId="4" borderId="4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4" borderId="18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left" vertical="top" wrapText="1"/>
    </xf>
    <xf numFmtId="0" fontId="1" fillId="4" borderId="20" xfId="0" applyFont="1" applyFill="1" applyBorder="1" applyAlignment="1">
      <alignment horizontal="left" vertical="top" wrapText="1"/>
    </xf>
    <xf numFmtId="0" fontId="1" fillId="4" borderId="21" xfId="0" applyFont="1" applyFill="1" applyBorder="1" applyAlignment="1">
      <alignment horizontal="left" vertical="top" wrapText="1"/>
    </xf>
    <xf numFmtId="0" fontId="1" fillId="4" borderId="22" xfId="0" applyFont="1" applyFill="1" applyBorder="1" applyAlignment="1">
      <alignment horizontal="left" vertical="top" wrapText="1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16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18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left" vertical="top" wrapText="1"/>
    </xf>
    <xf numFmtId="0" fontId="0" fillId="4" borderId="22" xfId="0" applyFill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23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/>
        <right/>
        <top/>
        <bottom/>
      </border>
    </dxf>
    <dxf>
      <font>
        <sz val="12"/>
        <color auto="1"/>
        <name val="Arial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/>
        <right/>
        <top/>
        <bottom/>
      </border>
    </dxf>
    <dxf>
      <numFmt numFmtId="30" formatCode="@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20</xdr:row>
      <xdr:rowOff>95250</xdr:rowOff>
    </xdr:from>
    <xdr:to>
      <xdr:col>8</xdr:col>
      <xdr:colOff>95250</xdr:colOff>
      <xdr:row>23</xdr:row>
      <xdr:rowOff>9525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00875" y="4286250"/>
          <a:ext cx="2724150" cy="514350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100" b="1"/>
            <a:t>Se deberán adjuntar los              comprobantes respaldatorios</a:t>
          </a:r>
        </a:p>
      </xdr:txBody>
    </xdr:sp>
    <xdr:clientData/>
  </xdr:twoCellAnchor>
  <xdr:twoCellAnchor editAs="oneCell">
    <xdr:from>
      <xdr:col>7</xdr:col>
      <xdr:colOff>266700</xdr:colOff>
      <xdr:row>20</xdr:row>
      <xdr:rowOff>142875</xdr:rowOff>
    </xdr:from>
    <xdr:to>
      <xdr:col>7</xdr:col>
      <xdr:colOff>638175</xdr:colOff>
      <xdr:row>22</xdr:row>
      <xdr:rowOff>142875</xdr:rowOff>
    </xdr:to>
    <xdr:pic>
      <xdr:nvPicPr>
        <xdr:cNvPr id="3" name="6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4465" t="35538" r="35654" b="17380"/>
        <a:stretch/>
      </xdr:blipFill>
      <xdr:spPr bwMode="auto">
        <a:xfrm>
          <a:off x="8982075" y="4333875"/>
          <a:ext cx="371475" cy="409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9</xdr:col>
      <xdr:colOff>561975</xdr:colOff>
      <xdr:row>19</xdr:row>
      <xdr:rowOff>133349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629775" y="2286000"/>
          <a:ext cx="1323975" cy="1847849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100" b="1"/>
            <a:t>Para</a:t>
          </a:r>
          <a:r>
            <a:rPr lang="es-AR" sz="1100" b="1" baseline="0"/>
            <a:t> cálculo de Reintegro de Viáticos f</a:t>
          </a:r>
          <a:r>
            <a:rPr lang="es-AR" sz="1100" b="1"/>
            <a:t>avor de completar también el Cuadro Inferior</a:t>
          </a:r>
          <a:r>
            <a:rPr lang="es-AR" sz="1100" b="1" baseline="0"/>
            <a:t> con el correspondiente itinerario</a:t>
          </a:r>
          <a:endParaRPr lang="es-AR" sz="1100" b="1"/>
        </a:p>
      </xdr:txBody>
    </xdr:sp>
    <xdr:clientData/>
  </xdr:twoCellAnchor>
  <xdr:twoCellAnchor editAs="oneCell">
    <xdr:from>
      <xdr:col>8</xdr:col>
      <xdr:colOff>523875</xdr:colOff>
      <xdr:row>17</xdr:row>
      <xdr:rowOff>76200</xdr:rowOff>
    </xdr:from>
    <xdr:to>
      <xdr:col>9</xdr:col>
      <xdr:colOff>95250</xdr:colOff>
      <xdr:row>19</xdr:row>
      <xdr:rowOff>76200</xdr:rowOff>
    </xdr:to>
    <xdr:pic>
      <xdr:nvPicPr>
        <xdr:cNvPr id="6" name="6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4465" t="35538" r="35654" b="17380"/>
        <a:stretch/>
      </xdr:blipFill>
      <xdr:spPr bwMode="auto">
        <a:xfrm>
          <a:off x="10153650" y="3695700"/>
          <a:ext cx="333375" cy="381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371475</xdr:colOff>
      <xdr:row>5</xdr:row>
      <xdr:rowOff>9525</xdr:rowOff>
    </xdr:from>
    <xdr:to>
      <xdr:col>7</xdr:col>
      <xdr:colOff>895350</xdr:colOff>
      <xdr:row>9</xdr:row>
      <xdr:rowOff>57150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172450" y="962025"/>
          <a:ext cx="1438275" cy="8096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500" b="1">
              <a:solidFill>
                <a:sysClr val="windowText" lastClr="000000"/>
              </a:solidFill>
            </a:rPr>
            <a:t>Favor</a:t>
          </a:r>
          <a:r>
            <a:rPr lang="es-AR" sz="1500" b="1" baseline="0">
              <a:solidFill>
                <a:sysClr val="windowText" lastClr="000000"/>
              </a:solidFill>
            </a:rPr>
            <a:t> de NO Completar las celdas pintadas</a:t>
          </a:r>
          <a:endParaRPr lang="es-AR" sz="15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6</xdr:row>
      <xdr:rowOff>171450</xdr:rowOff>
    </xdr:from>
    <xdr:to>
      <xdr:col>12</xdr:col>
      <xdr:colOff>571500</xdr:colOff>
      <xdr:row>8</xdr:row>
      <xdr:rowOff>95250</xdr:rowOff>
    </xdr:to>
    <xdr:sp macro="" textlink="">
      <xdr:nvSpPr>
        <xdr:cNvPr id="2" name="Cuadro de texto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276975" y="1438275"/>
          <a:ext cx="1609725" cy="3048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spcAft>
              <a:spcPts val="0"/>
            </a:spcAft>
          </a:pPr>
          <a:r>
            <a:rPr lang="es-E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FECHA  ..../…. /……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171450</xdr:colOff>
      <xdr:row>1</xdr:row>
      <xdr:rowOff>28575</xdr:rowOff>
    </xdr:from>
    <xdr:to>
      <xdr:col>2</xdr:col>
      <xdr:colOff>238124</xdr:colOff>
      <xdr:row>3</xdr:row>
      <xdr:rowOff>184069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19075"/>
          <a:ext cx="1590674" cy="536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142875</xdr:rowOff>
    </xdr:from>
    <xdr:to>
      <xdr:col>0</xdr:col>
      <xdr:colOff>1333500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42875"/>
          <a:ext cx="148590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ez.ernesto/Documents/Documentos%20Fundacion/Nuevos%20Formularios/Solicitud%20de%20comp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CITUD DE COMPRA"/>
      <sheetName val="Listado de proyectos"/>
      <sheetName val="tablas auxiliares"/>
    </sheetNames>
    <sheetDataSet>
      <sheetData sheetId="0"/>
      <sheetData sheetId="1">
        <row r="2">
          <cell r="A2" t="str">
            <v>5.2.14</v>
          </cell>
          <cell r="B2" t="str">
            <v>USDA</v>
          </cell>
          <cell r="C2" t="str">
            <v>OTROS</v>
          </cell>
        </row>
        <row r="3">
          <cell r="A3" t="str">
            <v>5.2.15</v>
          </cell>
          <cell r="B3" t="str">
            <v>PIRBRIGHT</v>
          </cell>
          <cell r="C3" t="str">
            <v>OTROS</v>
          </cell>
        </row>
        <row r="4">
          <cell r="A4" t="str">
            <v>5.2.16</v>
          </cell>
          <cell r="B4" t="str">
            <v>FTG- ATN/RF-16678-RG - Tizón de Papa</v>
          </cell>
          <cell r="C4" t="str">
            <v>FONTAGRO</v>
          </cell>
        </row>
        <row r="5">
          <cell r="A5" t="str">
            <v>5.2.19</v>
          </cell>
          <cell r="B5" t="str">
            <v>JIRCAS</v>
          </cell>
          <cell r="C5" t="str">
            <v>OTROS</v>
          </cell>
        </row>
        <row r="6">
          <cell r="A6" t="str">
            <v>5.2.20</v>
          </cell>
          <cell r="B6" t="str">
            <v>FTG-ATN/RF-16680-RG - Ganaderia familiar</v>
          </cell>
          <cell r="C6" t="str">
            <v>FONTAGRO</v>
          </cell>
        </row>
        <row r="7">
          <cell r="A7" t="str">
            <v>5.2.21</v>
          </cell>
          <cell r="B7" t="str">
            <v>GIZ-SPIPA</v>
          </cell>
          <cell r="C7" t="str">
            <v>OTROS</v>
          </cell>
        </row>
        <row r="8">
          <cell r="A8" t="str">
            <v>5.2.22</v>
          </cell>
          <cell r="B8" t="str">
            <v>H2020 - GA Nº 823967 – ProCEedS</v>
          </cell>
          <cell r="C8" t="str">
            <v>EU-H2020</v>
          </cell>
        </row>
        <row r="9">
          <cell r="A9" t="str">
            <v>5.2.23</v>
          </cell>
          <cell r="B9" t="str">
            <v>CONSULTORIA - Proyecto FCPF – Donación BIRF Nº TF 19086</v>
          </cell>
          <cell r="C9" t="str">
            <v>OTROS</v>
          </cell>
        </row>
        <row r="10">
          <cell r="A10" t="str">
            <v>5.2.29.1</v>
          </cell>
          <cell r="B10" t="str">
            <v>FTG-ATN/RF-16926-RG - Leguminosas</v>
          </cell>
          <cell r="C10" t="str">
            <v>FONTAGRO</v>
          </cell>
        </row>
        <row r="11">
          <cell r="A11" t="str">
            <v>5.2.3</v>
          </cell>
          <cell r="B11" t="str">
            <v>FTG- ATN/RF-16108-RG- Agricultores Familiares</v>
          </cell>
          <cell r="C11" t="str">
            <v>FONTAGRO</v>
          </cell>
        </row>
        <row r="12">
          <cell r="A12" t="str">
            <v>5.2.30.1</v>
          </cell>
          <cell r="B12" t="str">
            <v>FTG-ATN/RF-17232-RG- HLB</v>
          </cell>
          <cell r="C12" t="str">
            <v>FONTAGRO</v>
          </cell>
        </row>
        <row r="13">
          <cell r="A13" t="str">
            <v>5.2.31.111</v>
          </cell>
          <cell r="B13" t="str">
            <v xml:space="preserve">IVVN    International Veterinary Vaccinology Network </v>
          </cell>
          <cell r="C13" t="str">
            <v>OTROS</v>
          </cell>
        </row>
        <row r="14">
          <cell r="A14" t="str">
            <v>5.2.32</v>
          </cell>
          <cell r="B14" t="str">
            <v>BAYER Grants4Traits – Appl. Nº 042</v>
          </cell>
          <cell r="C14" t="str">
            <v>OTROS</v>
          </cell>
        </row>
        <row r="15">
          <cell r="A15" t="str">
            <v>5.2.33</v>
          </cell>
          <cell r="B15" t="str">
            <v xml:space="preserve">BAYER Grants4Biologicals – Appl. Nº 033 </v>
          </cell>
          <cell r="C15" t="str">
            <v>OTROS</v>
          </cell>
        </row>
        <row r="16">
          <cell r="A16" t="str">
            <v>5.2.34.1</v>
          </cell>
          <cell r="B16" t="str">
            <v>H2020 GA Nº 862849 FERTIMANURE</v>
          </cell>
          <cell r="C16" t="str">
            <v>EU-H2020</v>
          </cell>
        </row>
        <row r="17">
          <cell r="A17" t="str">
            <v>5.2.35.1</v>
          </cell>
          <cell r="B17" t="str">
            <v xml:space="preserve">H2020 - GA Nº 857804 – DIBICOO </v>
          </cell>
          <cell r="C17" t="str">
            <v>EU-H2020</v>
          </cell>
        </row>
        <row r="18">
          <cell r="A18" t="str">
            <v>5.2.36.1</v>
          </cell>
          <cell r="B18" t="str">
            <v>UNIVERSIDAD DE GEORGIA</v>
          </cell>
          <cell r="C18" t="str">
            <v>OTROS</v>
          </cell>
        </row>
        <row r="19">
          <cell r="A19" t="str">
            <v>5.2.37.1</v>
          </cell>
          <cell r="B19" t="str">
            <v>Hipra Scientific S.L.U.</v>
          </cell>
          <cell r="C19" t="str">
            <v>OTROS</v>
          </cell>
        </row>
        <row r="20">
          <cell r="A20" t="str">
            <v>5.2.38.1</v>
          </cell>
          <cell r="B20" t="str">
            <v>PROCISUR- HLB</v>
          </cell>
          <cell r="C20" t="str">
            <v>PROCISUR</v>
          </cell>
        </row>
        <row r="21">
          <cell r="A21" t="str">
            <v>5.2.39.1</v>
          </cell>
          <cell r="B21" t="str">
            <v>INIA - INTA - FA (REDD+) “ Emisión y Remoción de GEI”</v>
          </cell>
          <cell r="C21" t="str">
            <v>OTROS</v>
          </cell>
        </row>
        <row r="22">
          <cell r="A22" t="str">
            <v>5.2.4</v>
          </cell>
          <cell r="B22" t="str">
            <v>FTG- ATN/RF-16112-RG - Gran Chaco</v>
          </cell>
          <cell r="C22" t="str">
            <v>FONTAGRO</v>
          </cell>
        </row>
        <row r="23">
          <cell r="A23" t="str">
            <v>5.2.40.1</v>
          </cell>
          <cell r="B23" t="str">
            <v>FTG-ATN/RF-15940-RG- Lechería</v>
          </cell>
          <cell r="C23" t="str">
            <v>FONTAGRO</v>
          </cell>
        </row>
        <row r="24">
          <cell r="A24" t="str">
            <v>5.2.41</v>
          </cell>
          <cell r="B24" t="str">
            <v>REZATEC</v>
          </cell>
          <cell r="C24" t="str">
            <v>OTROS</v>
          </cell>
        </row>
        <row r="25">
          <cell r="A25" t="str">
            <v>5.2.42</v>
          </cell>
          <cell r="B25" t="str">
            <v>Acuerdo de Transferencia INTA - VETAL</v>
          </cell>
          <cell r="C25" t="str">
            <v>OTROS</v>
          </cell>
        </row>
        <row r="26">
          <cell r="A26" t="str">
            <v>5.2.43.1</v>
          </cell>
          <cell r="B26" t="str">
            <v>Curso Virtual IUIS-VIC</v>
          </cell>
          <cell r="C26" t="str">
            <v>OTROS</v>
          </cell>
        </row>
        <row r="27">
          <cell r="A27" t="str">
            <v>5.2.44.1</v>
          </cell>
          <cell r="B27" t="str">
            <v>FTG- ATN/RF-17245-RG(RG-T3387) - Regante</v>
          </cell>
          <cell r="C27" t="str">
            <v>FONTAGRO</v>
          </cell>
        </row>
        <row r="28">
          <cell r="A28" t="str">
            <v>5.2.45</v>
          </cell>
          <cell r="B28" t="str">
            <v>Carta Acuerdo N° 3/2020 - INIDEP CTMFM</v>
          </cell>
          <cell r="C28" t="str">
            <v>OTROS</v>
          </cell>
        </row>
        <row r="29">
          <cell r="A29" t="str">
            <v>5.2.47</v>
          </cell>
          <cell r="B29" t="str">
            <v>PROCISUR-Leguminosas-FTG</v>
          </cell>
          <cell r="C29" t="str">
            <v>PROCISUR</v>
          </cell>
        </row>
        <row r="30">
          <cell r="A30" t="str">
            <v>5.2.48.1</v>
          </cell>
          <cell r="B30" t="str">
            <v>Universidad de Georgia (UGA) - Carbón de maní</v>
          </cell>
          <cell r="C30" t="str">
            <v>OTROS</v>
          </cell>
        </row>
        <row r="31">
          <cell r="A31" t="str">
            <v>5.2.50</v>
          </cell>
          <cell r="B31" t="str">
            <v>Orden de trabajo – ERM Argentina S.A.</v>
          </cell>
          <cell r="C31" t="str">
            <v>OTROS</v>
          </cell>
        </row>
        <row r="32">
          <cell r="A32" t="str">
            <v>5.2.51</v>
          </cell>
          <cell r="B32" t="str">
            <v>C/A N° 01/2020 – INIDEP – FA (Proyecto FAO)</v>
          </cell>
          <cell r="C32" t="str">
            <v>OTROS</v>
          </cell>
        </row>
        <row r="33">
          <cell r="A33" t="str">
            <v>5.2.53.1</v>
          </cell>
          <cell r="B33" t="str">
            <v>H2020 Phy2Climate - GA N° 101006912</v>
          </cell>
          <cell r="C33" t="str">
            <v>EU-H2020</v>
          </cell>
        </row>
        <row r="34">
          <cell r="A34" t="str">
            <v>5.2.54.1</v>
          </cell>
          <cell r="B34" t="str">
            <v>CONTRATO DE SERVICIOS N° 40329751/0 – OIT</v>
          </cell>
          <cell r="C34" t="str">
            <v>OTROS</v>
          </cell>
        </row>
        <row r="35">
          <cell r="A35" t="str">
            <v>5.2.55.1</v>
          </cell>
          <cell r="B35" t="str">
            <v>FTG. ATN/RF-18136-RG (RG-T3584)-Coccidiosis Aviar</v>
          </cell>
          <cell r="C35" t="str">
            <v>FONTAGRO</v>
          </cell>
        </row>
        <row r="36">
          <cell r="A36" t="str">
            <v>5.2.56.1</v>
          </cell>
          <cell r="B36" t="str">
            <v>FTG- ATN/RF-17950-RG -Eficiencia del Uso del Agua- Co ejec DGI</v>
          </cell>
          <cell r="C36" t="str">
            <v>FONTAGRO</v>
          </cell>
        </row>
        <row r="37">
          <cell r="A37" t="str">
            <v>5.2.57.1</v>
          </cell>
          <cell r="B37" t="str">
            <v>FTG-ATN/RF-18078-RG (RG-T3587)- AGTECH LECHERIA INTELIGENTE</v>
          </cell>
          <cell r="C37" t="str">
            <v>FONTAGRO</v>
          </cell>
        </row>
        <row r="38">
          <cell r="A38" t="str">
            <v>5.2.58.1</v>
          </cell>
          <cell r="B38" t="str">
            <v>FTG- ATN/RF-17950-RG -Eficiencia del Uso del Agua- Co ejec INTA</v>
          </cell>
          <cell r="C38" t="str">
            <v>FONTAGRO</v>
          </cell>
        </row>
        <row r="39">
          <cell r="A39" t="str">
            <v>5.2.59.1</v>
          </cell>
          <cell r="B39" t="str">
            <v>FTG-ATN/RF-18077-RG- Gestión del Pasto- Co ejec INTA</v>
          </cell>
          <cell r="C39" t="str">
            <v>FONTAGRO</v>
          </cell>
        </row>
        <row r="40">
          <cell r="A40" t="str">
            <v>5.2.60.1</v>
          </cell>
          <cell r="B40" t="str">
            <v>FTG-CO-EJECUCIÓN FCA UNC - AGTECH LECHERIA</v>
          </cell>
          <cell r="C40" t="str">
            <v>FONTAGRO</v>
          </cell>
        </row>
        <row r="41">
          <cell r="A41" t="str">
            <v>5.2.61.1</v>
          </cell>
          <cell r="B41" t="str">
            <v>FTG-ATN/RF-18079-RG (RG-T3585)- Productividad Bovina</v>
          </cell>
          <cell r="C41" t="str">
            <v>FONTAGRO</v>
          </cell>
        </row>
        <row r="42">
          <cell r="A42" t="str">
            <v>5.2.62.1</v>
          </cell>
          <cell r="B42" t="str">
            <v>H2020 - SOILGUARD - GA N° 101000371</v>
          </cell>
          <cell r="C42" t="str">
            <v>EU-H2020</v>
          </cell>
        </row>
        <row r="43">
          <cell r="A43" t="str">
            <v>5.2.63.1</v>
          </cell>
          <cell r="B43" t="str">
            <v xml:space="preserve">Carta Acuerdo INTA-FA DIBICOO  </v>
          </cell>
          <cell r="C43" t="str">
            <v>OTROS</v>
          </cell>
        </row>
        <row r="44">
          <cell r="A44" t="str">
            <v>5.2.64.1</v>
          </cell>
          <cell r="B44" t="str">
            <v>Carta Acuerdo INTA - FA - INIA REDD +  “ Emisión y Remoción de GEI”</v>
          </cell>
          <cell r="C44" t="str">
            <v>OTROS</v>
          </cell>
        </row>
        <row r="45">
          <cell r="A45" t="str">
            <v>5.2.66</v>
          </cell>
          <cell r="B45" t="str">
            <v xml:space="preserve">Universidad de Liverpool </v>
          </cell>
          <cell r="C45" t="str">
            <v>OTROS</v>
          </cell>
        </row>
        <row r="46">
          <cell r="A46" t="str">
            <v>5.2.67</v>
          </cell>
          <cell r="B46" t="str">
            <v>BAYER - Grants4 Ag Initiative</v>
          </cell>
          <cell r="C46" t="str">
            <v>OTROS</v>
          </cell>
        </row>
        <row r="47">
          <cell r="A47" t="str">
            <v>5.2.68.1</v>
          </cell>
          <cell r="B47" t="str">
            <v>FTG-ATN/RF-18105-RG-Arroz  Productivo</v>
          </cell>
          <cell r="C47" t="str">
            <v>FONTAGRO</v>
          </cell>
        </row>
        <row r="48">
          <cell r="A48" t="str">
            <v>5.2.69.1</v>
          </cell>
          <cell r="B48" t="str">
            <v xml:space="preserve">STE N°2855-DSM </v>
          </cell>
          <cell r="C48" t="str">
            <v>OTROS</v>
          </cell>
        </row>
        <row r="49">
          <cell r="A49" t="str">
            <v>5.2.7</v>
          </cell>
          <cell r="B49" t="str">
            <v>FTG-ARN/RF-15460-RG -INIA –SEMILLAS - Coej. INTA</v>
          </cell>
          <cell r="C49" t="str">
            <v>FONTAGRO</v>
          </cell>
        </row>
        <row r="50">
          <cell r="A50" t="str">
            <v>5.2.70</v>
          </cell>
          <cell r="B50" t="str">
            <v>Contrato IAEA N° 20709</v>
          </cell>
          <cell r="C50" t="str">
            <v>OTROS</v>
          </cell>
        </row>
        <row r="51">
          <cell r="A51" t="str">
            <v>5.2.71.1</v>
          </cell>
          <cell r="B51" t="str">
            <v xml:space="preserve">Carta Acuerdo INTA -FAO ( TCP/RLA/3805) </v>
          </cell>
          <cell r="C51" t="str">
            <v>OTROS</v>
          </cell>
        </row>
        <row r="52">
          <cell r="A52" t="str">
            <v>5.2.72.1</v>
          </cell>
          <cell r="B52" t="str">
            <v xml:space="preserve">PROCISUR – EDICIÓN GÉNICA </v>
          </cell>
          <cell r="C52" t="str">
            <v>PROCISUR</v>
          </cell>
        </row>
        <row r="53">
          <cell r="A53" t="str">
            <v>5.2.73</v>
          </cell>
          <cell r="B53" t="str">
            <v>INTEGRITY</v>
          </cell>
          <cell r="C53" t="str">
            <v>OTROS</v>
          </cell>
        </row>
        <row r="54">
          <cell r="A54" t="str">
            <v>5.2.74.1</v>
          </cell>
          <cell r="B54" t="str">
            <v xml:space="preserve">Carta Acuerdo INTA - FA - H2020 FERTIMANURE  </v>
          </cell>
          <cell r="C54" t="str">
            <v>EU-H2020</v>
          </cell>
        </row>
        <row r="55">
          <cell r="A55" t="str">
            <v>5.2.75.1</v>
          </cell>
          <cell r="B55" t="str">
            <v>Carta Acuerdo INTA - FA – REZATEC</v>
          </cell>
          <cell r="C55" t="str">
            <v>OTROS</v>
          </cell>
        </row>
        <row r="56">
          <cell r="A56" t="str">
            <v>5.2.76.1</v>
          </cell>
          <cell r="B56" t="str">
            <v>FTG- ATN/RR-18757-RG - EDICION GENICA</v>
          </cell>
          <cell r="C56" t="str">
            <v>FONTAGRO</v>
          </cell>
        </row>
        <row r="57">
          <cell r="A57" t="str">
            <v>5.2.77.1</v>
          </cell>
          <cell r="B57" t="str">
            <v>FTG-ATN/RF-18786-RG - OXIDO NITROSO</v>
          </cell>
          <cell r="C57" t="str">
            <v>FONTAGRO</v>
          </cell>
        </row>
        <row r="58">
          <cell r="A58" t="str">
            <v>5.2.78.1</v>
          </cell>
          <cell r="B58" t="str">
            <v>STE N° 2942 INTA-VETAL</v>
          </cell>
          <cell r="C58" t="str">
            <v>OTROS</v>
          </cell>
        </row>
        <row r="59">
          <cell r="A59" t="str">
            <v>5.2.79</v>
          </cell>
          <cell r="B59" t="str">
            <v>The Nature Conservancy - Colecciones Nº 3, 4 y 5</v>
          </cell>
          <cell r="C59" t="str">
            <v>OTROS</v>
          </cell>
        </row>
        <row r="60">
          <cell r="A60" t="str">
            <v>5.2.80</v>
          </cell>
          <cell r="B60" t="str">
            <v>The Nature Conservancy - Agroideal</v>
          </cell>
          <cell r="C60" t="str">
            <v>OTROS</v>
          </cell>
        </row>
        <row r="61">
          <cell r="A61" t="str">
            <v>5.2.81</v>
          </cell>
          <cell r="B61" t="str">
            <v>C/A N° 4/2021 - INIDEP - IFOP</v>
          </cell>
          <cell r="C61" t="str">
            <v>OTROS</v>
          </cell>
        </row>
        <row r="62">
          <cell r="A62" t="str">
            <v>5.2.82</v>
          </cell>
          <cell r="B62" t="str">
            <v>ACA- ATN/RR-18757-RG - EDICION GENICA</v>
          </cell>
          <cell r="C62" t="str">
            <v>OTROS</v>
          </cell>
        </row>
        <row r="63">
          <cell r="A63" t="str">
            <v>5.2.83</v>
          </cell>
          <cell r="B63" t="str">
            <v>Contrato IAEA N° 25103</v>
          </cell>
          <cell r="C63" t="str">
            <v>OTROS</v>
          </cell>
        </row>
        <row r="64">
          <cell r="A64" t="str">
            <v>5.2.84</v>
          </cell>
          <cell r="B64" t="str">
            <v>C/A INTA-FA Cabana</v>
          </cell>
          <cell r="C64" t="str">
            <v>OTROS</v>
          </cell>
        </row>
        <row r="65">
          <cell r="A65" t="str">
            <v>5.2.85</v>
          </cell>
          <cell r="B65" t="str">
            <v>BUTANTAN</v>
          </cell>
          <cell r="C65" t="str">
            <v>OTROS</v>
          </cell>
        </row>
        <row r="66">
          <cell r="A66" t="str">
            <v>5.2.86</v>
          </cell>
          <cell r="B66" t="str">
            <v>Donación ERM Foundation</v>
          </cell>
          <cell r="C66" t="str">
            <v>OTROS</v>
          </cell>
        </row>
        <row r="67">
          <cell r="A67" t="str">
            <v>5.2.87</v>
          </cell>
          <cell r="B67" t="str">
            <v>H2020 - Se4All - GA N° 101007630</v>
          </cell>
          <cell r="C67" t="str">
            <v>EU-H2020</v>
          </cell>
        </row>
        <row r="68">
          <cell r="A68" t="str">
            <v>5.2.88</v>
          </cell>
          <cell r="B68" t="str">
            <v>H2020 - BeXyl - GA N° 10106059</v>
          </cell>
          <cell r="C68" t="str">
            <v>EU-H2020</v>
          </cell>
        </row>
        <row r="69">
          <cell r="A69" t="str">
            <v>5.2.89</v>
          </cell>
          <cell r="B69" t="str">
            <v>FTG- ATN/RF-18769-RG y ATN/RF-18770-RG.Secuestro de Carbono - Co Ejec INIA</v>
          </cell>
          <cell r="C69" t="str">
            <v>FONTAGRO</v>
          </cell>
        </row>
        <row r="70">
          <cell r="A70" t="str">
            <v>5.2.9</v>
          </cell>
          <cell r="B70" t="str">
            <v>Babet Real 5 Acta Acuerdo INTA-FA</v>
          </cell>
          <cell r="C70" t="str">
            <v>OTROS</v>
          </cell>
        </row>
        <row r="71">
          <cell r="A71" t="str">
            <v>5.2.90</v>
          </cell>
          <cell r="B71" t="str">
            <v>Consultoría CIAT - FA</v>
          </cell>
          <cell r="C71" t="str">
            <v>OTROS</v>
          </cell>
        </row>
        <row r="72">
          <cell r="A72" t="str">
            <v>5.2.91</v>
          </cell>
          <cell r="B72" t="str">
            <v>AECID - Resolución ELLAS+ Núm. 2022/SPE/0000400088</v>
          </cell>
          <cell r="C72" t="str">
            <v>AECID</v>
          </cell>
        </row>
        <row r="73">
          <cell r="A73" t="str">
            <v>5.2.92</v>
          </cell>
          <cell r="B73" t="str">
            <v>Consultoría - CEPAL (Proyecto Facility)</v>
          </cell>
          <cell r="C73" t="str">
            <v>OTROS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iz2020" displayName="Horiz2020" ref="C14:C20" totalsRowShown="0" headerRowBorderDxfId="22" tableBorderDxfId="21" totalsRowBorderDxfId="20">
  <tableColumns count="1">
    <tableColumn id="1" xr3:uid="{00000000-0010-0000-0000-000001000000}" name="Horiz2020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isur" displayName="Procisur" ref="C21:C28" totalsRowShown="0" headerRowBorderDxfId="18" tableBorderDxfId="17" totalsRowBorderDxfId="16">
  <tableColumns count="1">
    <tableColumn id="1" xr3:uid="{00000000-0010-0000-0100-000001000000}" name="Procisur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tros" displayName="Otros" ref="C29:C34" totalsRowShown="0" headerRowBorderDxfId="14" tableBorderDxfId="13" totalsRowBorderDxfId="12">
  <autoFilter ref="C29:C34" xr:uid="{00000000-0009-0000-0100-000003000000}"/>
  <tableColumns count="1">
    <tableColumn id="1" xr3:uid="{00000000-0010-0000-0200-000001000000}" name="AECID" dataDxfId="11" totalsRow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Otros78" displayName="Otros78" ref="C35:C42" totalsRowShown="0" dataDxfId="8" headerRowBorderDxfId="9" tableBorderDxfId="7" totalsRowBorderDxfId="6">
  <autoFilter ref="C35:C42" xr:uid="{00000000-0009-0000-0100-000005000000}"/>
  <tableColumns count="1">
    <tableColumn id="1" xr3:uid="{00000000-0010-0000-0300-000001000000}" name="OTROS" dataDxfId="5" totalsRow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Fontagro5" displayName="Fontagro5" ref="C5:C13" totalsRowShown="0" headerRowBorderDxfId="3" tableBorderDxfId="2" totalsRowBorderDxfId="1">
  <tableColumns count="1">
    <tableColumn id="1" xr3:uid="{00000000-0010-0000-0400-000001000000}" name="Fontag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4"/>
  <sheetViews>
    <sheetView tabSelected="1" zoomScaleNormal="100" workbookViewId="0">
      <selection activeCell="D14" sqref="D14"/>
    </sheetView>
  </sheetViews>
  <sheetFormatPr baseColWidth="10" defaultColWidth="11.42578125" defaultRowHeight="15"/>
  <cols>
    <col min="1" max="1" width="21.5703125" style="52" customWidth="1"/>
    <col min="2" max="2" width="16.85546875" style="52" customWidth="1"/>
    <col min="3" max="3" width="17.42578125" style="52" customWidth="1"/>
    <col min="4" max="4" width="26.42578125" style="52" customWidth="1"/>
    <col min="5" max="5" width="21.7109375" style="52" customWidth="1"/>
    <col min="6" max="6" width="13" style="52" customWidth="1"/>
    <col min="7" max="8" width="13.7109375" style="52" customWidth="1"/>
    <col min="9" max="9" width="11.42578125" style="52"/>
    <col min="10" max="10" width="9.5703125" style="52" customWidth="1"/>
    <col min="11" max="16384" width="11.42578125" style="52"/>
  </cols>
  <sheetData>
    <row r="1" spans="1:10" ht="15" customHeight="1">
      <c r="A1" s="69" t="s">
        <v>201</v>
      </c>
      <c r="B1" s="69"/>
      <c r="C1" s="69"/>
      <c r="D1" s="69"/>
      <c r="E1" s="69"/>
      <c r="F1" s="69"/>
      <c r="G1" s="49"/>
      <c r="H1" s="50"/>
      <c r="I1" s="51"/>
      <c r="J1" s="51"/>
    </row>
    <row r="2" spans="1:10" ht="15" customHeight="1">
      <c r="A2" s="69"/>
      <c r="B2" s="69"/>
      <c r="C2" s="69"/>
      <c r="D2" s="69"/>
      <c r="E2" s="69"/>
      <c r="F2" s="69"/>
      <c r="G2" s="49"/>
      <c r="H2" s="50"/>
      <c r="I2" s="51"/>
      <c r="J2" s="51"/>
    </row>
    <row r="3" spans="1:10">
      <c r="A3" s="51"/>
      <c r="B3" s="51"/>
      <c r="C3" s="53"/>
      <c r="D3" s="51"/>
      <c r="E3" s="51"/>
      <c r="F3" s="51"/>
      <c r="G3" s="51"/>
      <c r="H3" s="51"/>
      <c r="I3" s="51"/>
      <c r="J3" s="51"/>
    </row>
    <row r="4" spans="1:10">
      <c r="A4" s="70" t="s">
        <v>174</v>
      </c>
      <c r="B4" s="70"/>
      <c r="C4" s="68"/>
      <c r="D4" s="68"/>
      <c r="E4" s="68"/>
      <c r="F4" s="68"/>
      <c r="G4" s="51"/>
      <c r="H4" s="51"/>
      <c r="I4" s="51"/>
      <c r="J4" s="51"/>
    </row>
    <row r="5" spans="1:10">
      <c r="A5" s="71" t="s">
        <v>186</v>
      </c>
      <c r="B5" s="72"/>
      <c r="C5" s="73" t="e">
        <f>VLOOKUP(C4,tabla,2,0)</f>
        <v>#N/A</v>
      </c>
      <c r="D5" s="74"/>
      <c r="E5" s="74" t="e">
        <f>+VLOOKUP(#REF!,'[1]Listado de proyectos'!$A$2:$C$73,2,0)</f>
        <v>#REF!</v>
      </c>
      <c r="F5" s="75"/>
      <c r="G5" s="51"/>
      <c r="H5" s="51"/>
      <c r="I5" s="51"/>
      <c r="J5" s="51"/>
    </row>
    <row r="6" spans="1:10" ht="15" customHeight="1">
      <c r="A6" s="67" t="s">
        <v>5</v>
      </c>
      <c r="B6" s="67"/>
      <c r="C6" s="68"/>
      <c r="D6" s="68"/>
      <c r="E6" s="68"/>
      <c r="F6" s="68"/>
      <c r="G6" s="51"/>
      <c r="H6" s="51"/>
      <c r="I6" s="51"/>
      <c r="J6" s="51"/>
    </row>
    <row r="7" spans="1:10" ht="15" customHeight="1">
      <c r="A7" s="70" t="s">
        <v>190</v>
      </c>
      <c r="B7" s="70"/>
      <c r="C7" s="68"/>
      <c r="D7" s="68"/>
      <c r="E7" s="68"/>
      <c r="F7" s="68"/>
      <c r="G7" s="51"/>
      <c r="H7" s="51"/>
      <c r="I7" s="51"/>
      <c r="J7" s="51"/>
    </row>
    <row r="8" spans="1:10" ht="15" customHeight="1">
      <c r="A8" s="67" t="s">
        <v>187</v>
      </c>
      <c r="B8" s="67"/>
      <c r="C8" s="68"/>
      <c r="D8" s="68"/>
      <c r="E8" s="68"/>
      <c r="F8" s="68"/>
      <c r="G8" s="51"/>
      <c r="H8" s="51"/>
      <c r="I8" s="51"/>
      <c r="J8" s="51"/>
    </row>
    <row r="9" spans="1:10" ht="15" customHeight="1">
      <c r="A9" s="67" t="s">
        <v>188</v>
      </c>
      <c r="B9" s="67"/>
      <c r="C9" s="76"/>
      <c r="D9" s="76"/>
      <c r="E9" s="76"/>
      <c r="F9" s="76"/>
      <c r="G9" s="51"/>
      <c r="H9" s="51"/>
      <c r="I9" s="51"/>
      <c r="J9" s="51"/>
    </row>
    <row r="10" spans="1:10">
      <c r="A10" s="67" t="s">
        <v>223</v>
      </c>
      <c r="B10" s="67"/>
      <c r="C10" s="79"/>
      <c r="D10" s="68"/>
      <c r="E10" s="68"/>
      <c r="F10" s="68"/>
      <c r="G10" s="51"/>
      <c r="H10" s="51"/>
      <c r="I10" s="51"/>
      <c r="J10" s="51"/>
    </row>
    <row r="11" spans="1:10">
      <c r="A11" s="54"/>
      <c r="B11" s="54"/>
      <c r="C11" s="55"/>
      <c r="D11" s="55"/>
      <c r="E11" s="55"/>
      <c r="F11" s="55"/>
      <c r="G11" s="51"/>
      <c r="H11" s="51"/>
      <c r="I11" s="51"/>
      <c r="J11" s="51"/>
    </row>
    <row r="12" spans="1:10">
      <c r="A12" s="51"/>
      <c r="B12" s="51"/>
      <c r="C12" s="51"/>
      <c r="D12" s="51"/>
      <c r="E12" s="51"/>
      <c r="F12" s="51"/>
      <c r="G12" s="51"/>
      <c r="H12" s="51"/>
      <c r="I12" s="51"/>
      <c r="J12" s="51"/>
    </row>
    <row r="13" spans="1:10" ht="45">
      <c r="A13" s="56" t="s">
        <v>3</v>
      </c>
      <c r="B13" s="57" t="s">
        <v>0</v>
      </c>
      <c r="C13" s="57" t="s">
        <v>222</v>
      </c>
      <c r="D13" s="57" t="s">
        <v>183</v>
      </c>
      <c r="E13" s="57" t="s">
        <v>191</v>
      </c>
      <c r="F13" s="57" t="s">
        <v>192</v>
      </c>
      <c r="G13" s="58" t="s">
        <v>2</v>
      </c>
      <c r="H13" s="58" t="s">
        <v>4</v>
      </c>
      <c r="I13" s="51"/>
      <c r="J13" s="51"/>
    </row>
    <row r="14" spans="1:10">
      <c r="A14" s="34"/>
      <c r="B14" s="34"/>
      <c r="C14" s="34"/>
      <c r="D14" s="34"/>
      <c r="E14" s="35"/>
      <c r="F14" s="35"/>
      <c r="G14" s="36"/>
      <c r="H14" s="37"/>
      <c r="I14" s="51"/>
      <c r="J14" s="51"/>
    </row>
    <row r="15" spans="1:10">
      <c r="A15" s="34"/>
      <c r="B15" s="34"/>
      <c r="C15" s="34"/>
      <c r="D15" s="34"/>
      <c r="E15" s="35"/>
      <c r="F15" s="35"/>
      <c r="G15" s="36"/>
      <c r="H15" s="37"/>
      <c r="I15" s="51"/>
      <c r="J15" s="51"/>
    </row>
    <row r="16" spans="1:10">
      <c r="A16" s="34"/>
      <c r="B16" s="34"/>
      <c r="C16" s="34"/>
      <c r="D16" s="34"/>
      <c r="E16" s="35"/>
      <c r="F16" s="35"/>
      <c r="G16" s="36"/>
      <c r="H16" s="37"/>
      <c r="I16" s="51"/>
      <c r="J16" s="51"/>
    </row>
    <row r="17" spans="1:10">
      <c r="A17" s="34"/>
      <c r="B17" s="34"/>
      <c r="C17" s="34"/>
      <c r="D17" s="34"/>
      <c r="E17" s="35"/>
      <c r="F17" s="35"/>
      <c r="G17" s="36"/>
      <c r="H17" s="37"/>
      <c r="I17" s="51"/>
      <c r="J17" s="51"/>
    </row>
    <row r="18" spans="1:10">
      <c r="A18" s="34"/>
      <c r="B18" s="34"/>
      <c r="C18" s="34"/>
      <c r="D18" s="34"/>
      <c r="E18" s="35"/>
      <c r="F18" s="35"/>
      <c r="G18" s="36"/>
      <c r="H18" s="37"/>
      <c r="I18" s="51"/>
      <c r="J18" s="51"/>
    </row>
    <row r="19" spans="1:10">
      <c r="A19" s="34"/>
      <c r="B19" s="34"/>
      <c r="C19" s="34"/>
      <c r="D19" s="34"/>
      <c r="E19" s="35"/>
      <c r="F19" s="35"/>
      <c r="G19" s="36"/>
      <c r="H19" s="37"/>
      <c r="I19" s="51"/>
      <c r="J19" s="51"/>
    </row>
    <row r="20" spans="1:10">
      <c r="A20" s="51"/>
      <c r="B20" s="80" t="s">
        <v>175</v>
      </c>
      <c r="C20" s="81"/>
      <c r="D20" s="63">
        <f>SUM(D14:D19)</f>
        <v>0</v>
      </c>
      <c r="E20" s="63">
        <f>SUM(E14:E19)</f>
        <v>0</v>
      </c>
      <c r="F20" s="63">
        <f>SUM(F14:F19)</f>
        <v>0</v>
      </c>
      <c r="G20" s="59"/>
      <c r="H20" s="51"/>
      <c r="I20" s="51"/>
      <c r="J20" s="51"/>
    </row>
    <row r="21" spans="1:10">
      <c r="A21" s="51"/>
      <c r="B21" s="51"/>
      <c r="C21" s="51"/>
      <c r="D21" s="53"/>
      <c r="E21" s="51"/>
      <c r="F21" s="51"/>
      <c r="G21" s="51"/>
      <c r="H21" s="51"/>
      <c r="I21" s="51"/>
      <c r="J21" s="51"/>
    </row>
    <row r="22" spans="1:10" ht="17.25">
      <c r="A22" s="82" t="s">
        <v>189</v>
      </c>
      <c r="B22" s="83"/>
      <c r="C22" s="83"/>
      <c r="D22" s="83"/>
      <c r="E22" s="84"/>
      <c r="F22" s="51"/>
      <c r="G22" s="51"/>
      <c r="H22" s="51"/>
      <c r="I22" s="51"/>
      <c r="J22" s="51"/>
    </row>
    <row r="23" spans="1:10">
      <c r="A23" s="51"/>
      <c r="B23" s="51"/>
      <c r="C23" s="51"/>
      <c r="D23" s="53"/>
      <c r="E23" s="51"/>
      <c r="F23" s="51"/>
      <c r="G23" s="51"/>
      <c r="H23" s="51"/>
      <c r="I23" s="51"/>
      <c r="J23" s="51"/>
    </row>
    <row r="24" spans="1:10" ht="30">
      <c r="A24" s="51"/>
      <c r="B24" s="85" t="s">
        <v>176</v>
      </c>
      <c r="C24" s="85"/>
      <c r="D24" s="60" t="s">
        <v>194</v>
      </c>
      <c r="E24" s="60" t="s">
        <v>199</v>
      </c>
      <c r="F24" s="51"/>
      <c r="G24" s="51"/>
      <c r="H24" s="51"/>
      <c r="I24" s="51"/>
      <c r="J24" s="51"/>
    </row>
    <row r="25" spans="1:10">
      <c r="A25" s="51"/>
      <c r="B25" s="38" t="s">
        <v>177</v>
      </c>
      <c r="C25" s="38" t="s">
        <v>178</v>
      </c>
      <c r="D25" s="39" t="s">
        <v>195</v>
      </c>
      <c r="E25" s="39" t="s">
        <v>195</v>
      </c>
      <c r="F25" s="51"/>
      <c r="G25" s="51"/>
      <c r="H25" s="51"/>
      <c r="I25" s="51"/>
      <c r="J25" s="51"/>
    </row>
    <row r="26" spans="1:10">
      <c r="A26" s="51"/>
      <c r="B26" s="40"/>
      <c r="C26" s="41"/>
      <c r="D26" s="42"/>
      <c r="E26" s="42"/>
      <c r="F26" s="51"/>
      <c r="G26" s="51"/>
      <c r="H26" s="51"/>
      <c r="I26" s="51"/>
      <c r="J26" s="51"/>
    </row>
    <row r="27" spans="1:10">
      <c r="A27" s="51"/>
      <c r="B27" s="43" t="s">
        <v>179</v>
      </c>
      <c r="C27" s="44" t="s">
        <v>184</v>
      </c>
      <c r="D27" s="39" t="s">
        <v>198</v>
      </c>
      <c r="E27" s="39" t="s">
        <v>198</v>
      </c>
      <c r="F27" s="51"/>
      <c r="G27" s="51"/>
      <c r="H27" s="51"/>
      <c r="I27" s="51"/>
      <c r="J27" s="51"/>
    </row>
    <row r="28" spans="1:10">
      <c r="A28" s="51"/>
      <c r="B28" s="45"/>
      <c r="C28" s="45"/>
      <c r="D28" s="65"/>
      <c r="E28" s="46"/>
      <c r="F28" s="51"/>
      <c r="G28" s="51"/>
      <c r="H28" s="51"/>
      <c r="I28" s="51"/>
      <c r="J28" s="51"/>
    </row>
    <row r="29" spans="1:10">
      <c r="A29" s="51"/>
      <c r="B29" s="43" t="s">
        <v>180</v>
      </c>
      <c r="C29" s="44" t="s">
        <v>181</v>
      </c>
      <c r="D29" s="39" t="s">
        <v>196</v>
      </c>
      <c r="E29" s="39" t="s">
        <v>196</v>
      </c>
      <c r="F29" s="51"/>
      <c r="G29" s="51"/>
      <c r="H29" s="51"/>
      <c r="I29" s="51"/>
      <c r="J29" s="51"/>
    </row>
    <row r="30" spans="1:10">
      <c r="A30" s="51"/>
      <c r="B30" s="47"/>
      <c r="C30" s="47"/>
      <c r="D30" s="48">
        <f>+D26*D28</f>
        <v>0</v>
      </c>
      <c r="E30" s="48">
        <f>+E26*E28</f>
        <v>0</v>
      </c>
      <c r="F30" s="51"/>
      <c r="G30" s="51"/>
      <c r="H30" s="51"/>
      <c r="I30" s="51"/>
      <c r="J30" s="51"/>
    </row>
    <row r="31" spans="1:10">
      <c r="A31" s="51"/>
      <c r="B31" s="86" t="s">
        <v>182</v>
      </c>
      <c r="C31" s="86"/>
      <c r="D31" s="61"/>
      <c r="E31" s="39" t="s">
        <v>197</v>
      </c>
      <c r="F31" s="51"/>
      <c r="G31" s="51"/>
      <c r="H31" s="51"/>
      <c r="I31" s="51"/>
      <c r="J31" s="51"/>
    </row>
    <row r="32" spans="1:10">
      <c r="A32" s="51"/>
      <c r="B32" s="77"/>
      <c r="C32" s="78"/>
      <c r="D32" s="62"/>
      <c r="E32" s="39"/>
      <c r="F32" s="51"/>
      <c r="G32" s="51"/>
      <c r="H32" s="51"/>
      <c r="I32" s="51"/>
      <c r="J32" s="51"/>
    </row>
    <row r="33" spans="1:10">
      <c r="A33" s="51"/>
      <c r="B33" s="51"/>
      <c r="C33" s="51"/>
      <c r="D33" s="53"/>
      <c r="E33" s="51"/>
      <c r="F33" s="51"/>
      <c r="G33" s="51"/>
      <c r="H33" s="51"/>
      <c r="I33" s="51"/>
      <c r="J33" s="51"/>
    </row>
    <row r="34" spans="1:10">
      <c r="A34" s="51"/>
      <c r="B34" s="51"/>
      <c r="C34" s="51"/>
      <c r="D34" s="51"/>
      <c r="E34" s="51"/>
      <c r="F34" s="51"/>
      <c r="G34" s="51"/>
      <c r="H34" s="51"/>
      <c r="I34" s="51"/>
      <c r="J34" s="51"/>
    </row>
  </sheetData>
  <sheetProtection insertRows="0"/>
  <mergeCells count="20">
    <mergeCell ref="B32:C32"/>
    <mergeCell ref="A10:B10"/>
    <mergeCell ref="C10:F10"/>
    <mergeCell ref="B20:C20"/>
    <mergeCell ref="A22:E22"/>
    <mergeCell ref="B24:C24"/>
    <mergeCell ref="B31:C31"/>
    <mergeCell ref="A7:B7"/>
    <mergeCell ref="C7:F7"/>
    <mergeCell ref="A8:B8"/>
    <mergeCell ref="C8:F8"/>
    <mergeCell ref="A9:B9"/>
    <mergeCell ref="C9:F9"/>
    <mergeCell ref="A6:B6"/>
    <mergeCell ref="C6:F6"/>
    <mergeCell ref="A1:F2"/>
    <mergeCell ref="A4:B4"/>
    <mergeCell ref="A5:B5"/>
    <mergeCell ref="C5:F5"/>
    <mergeCell ref="C4:F4"/>
  </mergeCells>
  <dataValidations count="1">
    <dataValidation type="list" allowBlank="1" showInputMessage="1" showErrorMessage="1" sqref="C4:F4" xr:uid="{00000000-0002-0000-0000-000000000000}">
      <formula1>comp</formula1>
    </dataValidation>
  </dataValidations>
  <pageMargins left="0.7" right="0.7" top="0.75" bottom="0.75" header="0.3" footer="0.3"/>
  <pageSetup scale="54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Tablas!$E$15:$E$16</xm:f>
          </x14:formula1>
          <xm:sqref>E32</xm:sqref>
        </x14:dataValidation>
        <x14:dataValidation type="list" allowBlank="1" showInputMessage="1" showErrorMessage="1" xr:uid="{00000000-0002-0000-0000-000002000000}">
          <x14:formula1>
            <xm:f>Tablas!$C$5:$C$42</xm:f>
          </x14:formula1>
          <xm:sqref>B14:B19</xm:sqref>
        </x14:dataValidation>
        <x14:dataValidation type="list" allowBlank="1" showInputMessage="1" showErrorMessage="1" xr:uid="{00000000-0002-0000-0000-000003000000}">
          <x14:formula1>
            <xm:f>Tablas!$A$5:$A$31</xm:f>
          </x14:formula1>
          <xm:sqref>C14:C19</xm:sqref>
        </x14:dataValidation>
        <x14:dataValidation type="list" allowBlank="1" showInputMessage="1" showErrorMessage="1" xr:uid="{00000000-0002-0000-0000-000004000000}">
          <x14:formula1>
            <xm:f>Tablas!$E$9:$E$13</xm:f>
          </x14:formula1>
          <xm:sqref>B32:C32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topLeftCell="A109" workbookViewId="0">
      <selection activeCell="E133" sqref="E133"/>
    </sheetView>
  </sheetViews>
  <sheetFormatPr baseColWidth="10" defaultRowHeight="15"/>
  <cols>
    <col min="1" max="1" width="15.28515625" customWidth="1"/>
    <col min="2" max="2" width="62.7109375" customWidth="1"/>
    <col min="3" max="3" width="14.42578125" customWidth="1"/>
    <col min="4" max="6" width="23" customWidth="1"/>
  </cols>
  <sheetData>
    <row r="1" spans="1:6">
      <c r="A1" s="29" t="s">
        <v>6</v>
      </c>
      <c r="B1" s="29" t="s">
        <v>7</v>
      </c>
      <c r="C1" s="29" t="s">
        <v>8</v>
      </c>
      <c r="D1" s="29" t="s">
        <v>185</v>
      </c>
      <c r="E1" s="29" t="s">
        <v>384</v>
      </c>
      <c r="F1" s="29" t="s">
        <v>385</v>
      </c>
    </row>
    <row r="2" spans="1:6">
      <c r="A2" s="30" t="s">
        <v>9</v>
      </c>
      <c r="B2" s="30" t="s">
        <v>10</v>
      </c>
      <c r="C2" s="30" t="s">
        <v>11</v>
      </c>
      <c r="D2" s="30"/>
      <c r="E2" s="66" t="str">
        <f>CONCATENATE(A2," - ",B2)</f>
        <v>5.2.14 - USDA</v>
      </c>
      <c r="F2" s="66" t="str">
        <f>+C2</f>
        <v>OTROS</v>
      </c>
    </row>
    <row r="3" spans="1:6">
      <c r="A3" s="30" t="s">
        <v>12</v>
      </c>
      <c r="B3" s="30" t="s">
        <v>13</v>
      </c>
      <c r="C3" s="30" t="s">
        <v>11</v>
      </c>
      <c r="D3" s="4"/>
      <c r="E3" s="66" t="str">
        <f t="shared" ref="E3:E66" si="0">CONCATENATE(A3," - ",B3)</f>
        <v>5.2.15 - PIRBRIGHT</v>
      </c>
      <c r="F3" s="66" t="str">
        <f t="shared" ref="F3:F66" si="1">+C3</f>
        <v>OTROS</v>
      </c>
    </row>
    <row r="4" spans="1:6">
      <c r="A4" s="30" t="s">
        <v>15</v>
      </c>
      <c r="B4" s="30" t="s">
        <v>16</v>
      </c>
      <c r="C4" s="30" t="s">
        <v>11</v>
      </c>
      <c r="D4" s="4"/>
      <c r="E4" s="66" t="str">
        <f t="shared" si="0"/>
        <v>5.2.19 - JIRCAS</v>
      </c>
      <c r="F4" s="66" t="str">
        <f t="shared" si="1"/>
        <v>OTROS</v>
      </c>
    </row>
    <row r="5" spans="1:6">
      <c r="A5" s="30" t="s">
        <v>17</v>
      </c>
      <c r="B5" s="30" t="s">
        <v>18</v>
      </c>
      <c r="C5" s="30" t="s">
        <v>11</v>
      </c>
      <c r="D5" s="4"/>
      <c r="E5" s="66" t="str">
        <f t="shared" si="0"/>
        <v>5.2.21 - GIZ-SPIPA</v>
      </c>
      <c r="F5" s="66" t="str">
        <f t="shared" si="1"/>
        <v>OTROS</v>
      </c>
    </row>
    <row r="6" spans="1:6">
      <c r="A6" s="30" t="s">
        <v>19</v>
      </c>
      <c r="B6" s="30" t="s">
        <v>20</v>
      </c>
      <c r="C6" s="30" t="s">
        <v>21</v>
      </c>
      <c r="D6" s="4"/>
      <c r="E6" s="66" t="str">
        <f t="shared" si="0"/>
        <v>5.2.22 - H2020 - GA Nº 823967 – ProCEedS</v>
      </c>
      <c r="F6" s="66" t="str">
        <f t="shared" si="1"/>
        <v>EU-H2020</v>
      </c>
    </row>
    <row r="7" spans="1:6">
      <c r="A7" s="30" t="s">
        <v>324</v>
      </c>
      <c r="B7" s="64" t="s">
        <v>325</v>
      </c>
      <c r="C7" s="30" t="s">
        <v>11</v>
      </c>
      <c r="D7" s="4"/>
      <c r="E7" s="66" t="str">
        <f t="shared" si="0"/>
        <v>5.2.27 - Contrato de investigación Nº 23402  INTA – IAEA</v>
      </c>
      <c r="F7" s="66" t="str">
        <f t="shared" si="1"/>
        <v>OTROS</v>
      </c>
    </row>
    <row r="8" spans="1:6">
      <c r="A8" s="30" t="s">
        <v>229</v>
      </c>
      <c r="B8" s="30" t="s">
        <v>22</v>
      </c>
      <c r="C8" s="30" t="s">
        <v>14</v>
      </c>
      <c r="D8" s="4"/>
      <c r="E8" s="66" t="str">
        <f t="shared" si="0"/>
        <v>5.2.29 - FTG-ATN/RF-16926-RG - Leguminosas</v>
      </c>
      <c r="F8" s="66" t="str">
        <f t="shared" si="1"/>
        <v>FONTAGRO</v>
      </c>
    </row>
    <row r="9" spans="1:6">
      <c r="A9" s="30" t="s">
        <v>230</v>
      </c>
      <c r="B9" s="30" t="s">
        <v>23</v>
      </c>
      <c r="C9" s="30" t="s">
        <v>14</v>
      </c>
      <c r="D9" s="4"/>
      <c r="E9" s="66" t="str">
        <f t="shared" si="0"/>
        <v>5.2.30 - FTG-ATN/RF-17232-RG- HLB</v>
      </c>
      <c r="F9" s="66" t="str">
        <f t="shared" si="1"/>
        <v>FONTAGRO</v>
      </c>
    </row>
    <row r="10" spans="1:6">
      <c r="A10" s="30" t="s">
        <v>231</v>
      </c>
      <c r="B10" s="30" t="s">
        <v>24</v>
      </c>
      <c r="C10" s="30" t="s">
        <v>11</v>
      </c>
      <c r="D10" s="4"/>
      <c r="E10" s="66" t="str">
        <f t="shared" si="0"/>
        <v xml:space="preserve">5.2.31 - IVVN    International Veterinary Vaccinology Network </v>
      </c>
      <c r="F10" s="66" t="str">
        <f t="shared" si="1"/>
        <v>OTROS</v>
      </c>
    </row>
    <row r="11" spans="1:6">
      <c r="A11" s="30" t="s">
        <v>25</v>
      </c>
      <c r="B11" s="30" t="s">
        <v>26</v>
      </c>
      <c r="C11" s="30" t="s">
        <v>11</v>
      </c>
      <c r="D11" s="4"/>
      <c r="E11" s="66" t="str">
        <f t="shared" si="0"/>
        <v xml:space="preserve">5.2.33 - BAYER Grants4Biologicals – Appl. Nº 033 </v>
      </c>
      <c r="F11" s="66" t="str">
        <f t="shared" si="1"/>
        <v>OTROS</v>
      </c>
    </row>
    <row r="12" spans="1:6">
      <c r="A12" s="30" t="s">
        <v>232</v>
      </c>
      <c r="B12" s="30" t="s">
        <v>27</v>
      </c>
      <c r="C12" s="30" t="s">
        <v>21</v>
      </c>
      <c r="D12" s="4"/>
      <c r="E12" s="66" t="str">
        <f t="shared" si="0"/>
        <v>5.2.34 - H2020 GA Nº 862849 FERTIMANURE</v>
      </c>
      <c r="F12" s="66" t="str">
        <f t="shared" si="1"/>
        <v>EU-H2020</v>
      </c>
    </row>
    <row r="13" spans="1:6">
      <c r="A13" s="30" t="s">
        <v>233</v>
      </c>
      <c r="B13" s="30" t="s">
        <v>28</v>
      </c>
      <c r="C13" s="30" t="s">
        <v>21</v>
      </c>
      <c r="D13" s="4"/>
      <c r="E13" s="66" t="str">
        <f t="shared" si="0"/>
        <v xml:space="preserve">5.2.35 - H2020 - GA Nº 857804 – DIBICOO </v>
      </c>
      <c r="F13" s="66" t="str">
        <f t="shared" si="1"/>
        <v>EU-H2020</v>
      </c>
    </row>
    <row r="14" spans="1:6">
      <c r="A14" s="30" t="s">
        <v>234</v>
      </c>
      <c r="B14" s="30" t="s">
        <v>29</v>
      </c>
      <c r="C14" s="30" t="s">
        <v>11</v>
      </c>
      <c r="D14" s="4"/>
      <c r="E14" s="66" t="str">
        <f t="shared" si="0"/>
        <v>5.2.36 - UNIVERSIDAD DE GEORGIA</v>
      </c>
      <c r="F14" s="66" t="str">
        <f t="shared" si="1"/>
        <v>OTROS</v>
      </c>
    </row>
    <row r="15" spans="1:6">
      <c r="A15" s="30" t="s">
        <v>235</v>
      </c>
      <c r="B15" s="30" t="s">
        <v>30</v>
      </c>
      <c r="C15" s="30" t="s">
        <v>31</v>
      </c>
      <c r="D15" s="4"/>
      <c r="E15" s="66" t="str">
        <f t="shared" si="0"/>
        <v>5.2.38 - PROCISUR- HLB</v>
      </c>
      <c r="F15" s="66" t="str">
        <f t="shared" si="1"/>
        <v>PROCISUR</v>
      </c>
    </row>
    <row r="16" spans="1:6">
      <c r="A16" s="30" t="s">
        <v>236</v>
      </c>
      <c r="B16" s="30" t="s">
        <v>32</v>
      </c>
      <c r="C16" s="30" t="s">
        <v>11</v>
      </c>
      <c r="D16" s="4"/>
      <c r="E16" s="66" t="str">
        <f t="shared" si="0"/>
        <v>5.2.39 - INIA - INTA - FA (REDD+) “ Emisión y Remoción de GEI”</v>
      </c>
      <c r="F16" s="66" t="str">
        <f t="shared" si="1"/>
        <v>OTROS</v>
      </c>
    </row>
    <row r="17" spans="1:6">
      <c r="A17" s="30" t="s">
        <v>33</v>
      </c>
      <c r="B17" s="30" t="s">
        <v>34</v>
      </c>
      <c r="C17" s="30" t="s">
        <v>11</v>
      </c>
      <c r="D17" s="4"/>
      <c r="E17" s="66" t="str">
        <f t="shared" si="0"/>
        <v>5.2.42 - Acuerdo de Transferencia INTA - VETAL</v>
      </c>
      <c r="F17" s="66" t="str">
        <f t="shared" si="1"/>
        <v>OTROS</v>
      </c>
    </row>
    <row r="18" spans="1:6">
      <c r="A18" s="30" t="s">
        <v>237</v>
      </c>
      <c r="B18" s="30" t="s">
        <v>35</v>
      </c>
      <c r="C18" s="30" t="s">
        <v>11</v>
      </c>
      <c r="D18" s="4"/>
      <c r="E18" s="66" t="str">
        <f t="shared" si="0"/>
        <v>5.2.43 - Curso Virtual IUIS-VIC</v>
      </c>
      <c r="F18" s="66" t="str">
        <f t="shared" si="1"/>
        <v>OTROS</v>
      </c>
    </row>
    <row r="19" spans="1:6">
      <c r="A19" s="30" t="s">
        <v>238</v>
      </c>
      <c r="B19" s="30" t="s">
        <v>36</v>
      </c>
      <c r="C19" s="30" t="s">
        <v>14</v>
      </c>
      <c r="D19" s="4"/>
      <c r="E19" s="66" t="str">
        <f t="shared" si="0"/>
        <v>5.2.44 - FTG- ATN/RF-17245-RG(RG-T3387) - Regante</v>
      </c>
      <c r="F19" s="66" t="str">
        <f t="shared" si="1"/>
        <v>FONTAGRO</v>
      </c>
    </row>
    <row r="20" spans="1:6">
      <c r="A20" s="30" t="s">
        <v>37</v>
      </c>
      <c r="B20" s="30" t="s">
        <v>38</v>
      </c>
      <c r="C20" s="30" t="s">
        <v>11</v>
      </c>
      <c r="D20" s="4"/>
      <c r="E20" s="66" t="str">
        <f t="shared" si="0"/>
        <v>5.2.45 - Carta Acuerdo N° 3/2020 - INIDEP CTMFM</v>
      </c>
      <c r="F20" s="66" t="str">
        <f t="shared" si="1"/>
        <v>OTROS</v>
      </c>
    </row>
    <row r="21" spans="1:6">
      <c r="A21" s="30" t="s">
        <v>39</v>
      </c>
      <c r="B21" s="30" t="s">
        <v>40</v>
      </c>
      <c r="C21" s="30" t="s">
        <v>31</v>
      </c>
      <c r="D21" s="4"/>
      <c r="E21" s="66" t="str">
        <f t="shared" si="0"/>
        <v>5.2.47 - PROCISUR-Leguminosas-FTG</v>
      </c>
      <c r="F21" s="66" t="str">
        <f t="shared" si="1"/>
        <v>PROCISUR</v>
      </c>
    </row>
    <row r="22" spans="1:6">
      <c r="A22" s="30" t="s">
        <v>239</v>
      </c>
      <c r="B22" s="30" t="s">
        <v>41</v>
      </c>
      <c r="C22" s="30" t="s">
        <v>11</v>
      </c>
      <c r="D22" s="4"/>
      <c r="E22" s="66" t="str">
        <f t="shared" si="0"/>
        <v>5.2.48 - Universidad de Georgia (UGA) - Carbón de maní</v>
      </c>
      <c r="F22" s="66" t="str">
        <f t="shared" si="1"/>
        <v>OTROS</v>
      </c>
    </row>
    <row r="23" spans="1:6">
      <c r="A23" s="30" t="s">
        <v>42</v>
      </c>
      <c r="B23" s="30" t="s">
        <v>43</v>
      </c>
      <c r="C23" s="30" t="s">
        <v>11</v>
      </c>
      <c r="D23" s="4"/>
      <c r="E23" s="66" t="str">
        <f t="shared" si="0"/>
        <v>5.2.50 - Orden de trabajo – ERM Argentina S.A.</v>
      </c>
      <c r="F23" s="66" t="str">
        <f t="shared" si="1"/>
        <v>OTROS</v>
      </c>
    </row>
    <row r="24" spans="1:6">
      <c r="A24" s="30" t="s">
        <v>240</v>
      </c>
      <c r="B24" s="30" t="s">
        <v>44</v>
      </c>
      <c r="C24" s="30" t="s">
        <v>21</v>
      </c>
      <c r="D24" s="4"/>
      <c r="E24" s="66" t="str">
        <f t="shared" si="0"/>
        <v>5.2.53 - H2020 Phy2Climate - GA N° 101006912</v>
      </c>
      <c r="F24" s="66" t="str">
        <f t="shared" si="1"/>
        <v>EU-H2020</v>
      </c>
    </row>
    <row r="25" spans="1:6">
      <c r="A25" s="30" t="s">
        <v>241</v>
      </c>
      <c r="B25" s="30" t="s">
        <v>45</v>
      </c>
      <c r="C25" s="30" t="s">
        <v>14</v>
      </c>
      <c r="D25" s="4"/>
      <c r="E25" s="66" t="str">
        <f t="shared" si="0"/>
        <v>5.2.55 - FTG. ATN/RF-18136-RG (RG-T3584)-Coccidiosis Aviar</v>
      </c>
      <c r="F25" s="66" t="str">
        <f t="shared" si="1"/>
        <v>FONTAGRO</v>
      </c>
    </row>
    <row r="26" spans="1:6">
      <c r="A26" s="30" t="s">
        <v>242</v>
      </c>
      <c r="B26" s="30" t="s">
        <v>46</v>
      </c>
      <c r="C26" s="30" t="s">
        <v>14</v>
      </c>
      <c r="D26" s="4"/>
      <c r="E26" s="66" t="str">
        <f t="shared" si="0"/>
        <v>5.2.56 - FTG- ATN/RF-17950-RG -Eficiencia del Uso del Agua- Co ejec DGI</v>
      </c>
      <c r="F26" s="66" t="str">
        <f t="shared" si="1"/>
        <v>FONTAGRO</v>
      </c>
    </row>
    <row r="27" spans="1:6">
      <c r="A27" s="30" t="s">
        <v>243</v>
      </c>
      <c r="B27" s="30" t="s">
        <v>47</v>
      </c>
      <c r="C27" s="30" t="s">
        <v>14</v>
      </c>
      <c r="D27" s="4"/>
      <c r="E27" s="66" t="str">
        <f t="shared" si="0"/>
        <v>5.2.57 - FTG-ATN/RF-18078-RG (RG-T3587)- AGTECH LECHERIA INTELIGENTE</v>
      </c>
      <c r="F27" s="66" t="str">
        <f t="shared" si="1"/>
        <v>FONTAGRO</v>
      </c>
    </row>
    <row r="28" spans="1:6">
      <c r="A28" s="30" t="s">
        <v>244</v>
      </c>
      <c r="B28" s="30" t="s">
        <v>48</v>
      </c>
      <c r="C28" s="30" t="s">
        <v>14</v>
      </c>
      <c r="D28" s="4"/>
      <c r="E28" s="66" t="str">
        <f t="shared" si="0"/>
        <v>5.2.58 - FTG- ATN/RF-17950-RG -Eficiencia del Uso del Agua- Co ejec INTA</v>
      </c>
      <c r="F28" s="66" t="str">
        <f t="shared" si="1"/>
        <v>FONTAGRO</v>
      </c>
    </row>
    <row r="29" spans="1:6">
      <c r="A29" s="30" t="s">
        <v>245</v>
      </c>
      <c r="B29" s="30" t="s">
        <v>49</v>
      </c>
      <c r="C29" s="30" t="s">
        <v>14</v>
      </c>
      <c r="D29" s="4"/>
      <c r="E29" s="66" t="str">
        <f t="shared" si="0"/>
        <v>5.2.59 - FTG-ATN/RF-18077-RG- Gestión del Pasto- Co ejec INTA</v>
      </c>
      <c r="F29" s="66" t="str">
        <f t="shared" si="1"/>
        <v>FONTAGRO</v>
      </c>
    </row>
    <row r="30" spans="1:6">
      <c r="A30" s="30" t="s">
        <v>246</v>
      </c>
      <c r="B30" s="30" t="s">
        <v>50</v>
      </c>
      <c r="C30" s="30" t="s">
        <v>14</v>
      </c>
      <c r="D30" s="4"/>
      <c r="E30" s="66" t="str">
        <f t="shared" si="0"/>
        <v>5.2.61 - FTG-ATN/RF-18079-RG (RG-T3585)- Productividad Bovina</v>
      </c>
      <c r="F30" s="66" t="str">
        <f t="shared" si="1"/>
        <v>FONTAGRO</v>
      </c>
    </row>
    <row r="31" spans="1:6">
      <c r="A31" s="30" t="s">
        <v>247</v>
      </c>
      <c r="B31" s="30" t="s">
        <v>51</v>
      </c>
      <c r="C31" s="30" t="s">
        <v>21</v>
      </c>
      <c r="D31" s="4"/>
      <c r="E31" s="66" t="str">
        <f t="shared" si="0"/>
        <v>5.2.62 - H2020 - SOILGUARD - GA N° 101000371</v>
      </c>
      <c r="F31" s="66" t="str">
        <f t="shared" si="1"/>
        <v>EU-H2020</v>
      </c>
    </row>
    <row r="32" spans="1:6">
      <c r="A32" s="30" t="s">
        <v>248</v>
      </c>
      <c r="B32" s="30" t="s">
        <v>52</v>
      </c>
      <c r="C32" s="30" t="s">
        <v>11</v>
      </c>
      <c r="D32" s="4"/>
      <c r="E32" s="66" t="str">
        <f t="shared" si="0"/>
        <v xml:space="preserve">5.2.63 - Carta Acuerdo INTA-FA DIBICOO  </v>
      </c>
      <c r="F32" s="66" t="str">
        <f t="shared" si="1"/>
        <v>OTROS</v>
      </c>
    </row>
    <row r="33" spans="1:6">
      <c r="A33" s="30" t="s">
        <v>249</v>
      </c>
      <c r="B33" s="30" t="s">
        <v>53</v>
      </c>
      <c r="C33" s="30" t="s">
        <v>11</v>
      </c>
      <c r="D33" s="4"/>
      <c r="E33" s="66" t="str">
        <f t="shared" si="0"/>
        <v>5.2.64 - Carta Acuerdo INTA - FA - INIA REDD +  “ Emisión y Remoción de GEI”</v>
      </c>
      <c r="F33" s="66" t="str">
        <f t="shared" si="1"/>
        <v>OTROS</v>
      </c>
    </row>
    <row r="34" spans="1:6">
      <c r="A34" s="30" t="s">
        <v>326</v>
      </c>
      <c r="B34" s="30" t="s">
        <v>327</v>
      </c>
      <c r="C34" s="30" t="s">
        <v>14</v>
      </c>
      <c r="D34" s="4"/>
      <c r="E34" s="66" t="str">
        <f t="shared" si="0"/>
        <v>5.2.65 - FTG - Leguminosas MPI NZ</v>
      </c>
      <c r="F34" s="66" t="str">
        <f t="shared" si="1"/>
        <v>FONTAGRO</v>
      </c>
    </row>
    <row r="35" spans="1:6">
      <c r="A35" s="30" t="s">
        <v>54</v>
      </c>
      <c r="B35" s="30" t="s">
        <v>55</v>
      </c>
      <c r="C35" s="30" t="s">
        <v>11</v>
      </c>
      <c r="D35" s="4"/>
      <c r="E35" s="66" t="str">
        <f t="shared" si="0"/>
        <v xml:space="preserve">5.2.66 - Universidad de Liverpool </v>
      </c>
      <c r="F35" s="66" t="str">
        <f t="shared" si="1"/>
        <v>OTROS</v>
      </c>
    </row>
    <row r="36" spans="1:6">
      <c r="A36" s="30" t="s">
        <v>56</v>
      </c>
      <c r="B36" s="30" t="s">
        <v>57</v>
      </c>
      <c r="C36" s="30" t="s">
        <v>11</v>
      </c>
      <c r="D36" s="4"/>
      <c r="E36" s="66" t="str">
        <f t="shared" si="0"/>
        <v>5.2.67 - BAYER - Grants4 Ag Initiative</v>
      </c>
      <c r="F36" s="66" t="str">
        <f t="shared" si="1"/>
        <v>OTROS</v>
      </c>
    </row>
    <row r="37" spans="1:6">
      <c r="A37" s="30" t="s">
        <v>250</v>
      </c>
      <c r="B37" s="30" t="s">
        <v>58</v>
      </c>
      <c r="C37" s="30" t="s">
        <v>14</v>
      </c>
      <c r="D37" s="4"/>
      <c r="E37" s="66" t="str">
        <f t="shared" si="0"/>
        <v>5.2.68 - FTG-ATN/RF-18105-RG-Arroz  Productivo</v>
      </c>
      <c r="F37" s="66" t="str">
        <f t="shared" si="1"/>
        <v>FONTAGRO</v>
      </c>
    </row>
    <row r="38" spans="1:6">
      <c r="A38" s="30" t="s">
        <v>251</v>
      </c>
      <c r="B38" s="30" t="s">
        <v>59</v>
      </c>
      <c r="C38" s="30" t="s">
        <v>11</v>
      </c>
      <c r="D38" s="4"/>
      <c r="E38" s="66" t="str">
        <f t="shared" si="0"/>
        <v xml:space="preserve">5.2.69 - STE N°2855-DSM </v>
      </c>
      <c r="F38" s="66" t="str">
        <f t="shared" si="1"/>
        <v>OTROS</v>
      </c>
    </row>
    <row r="39" spans="1:6">
      <c r="A39" s="30" t="s">
        <v>60</v>
      </c>
      <c r="B39" s="30" t="s">
        <v>61</v>
      </c>
      <c r="C39" s="30" t="s">
        <v>11</v>
      </c>
      <c r="D39" s="4"/>
      <c r="E39" s="66" t="str">
        <f t="shared" si="0"/>
        <v>5.2.70 - Contrato IAEA N° 20709</v>
      </c>
      <c r="F39" s="66" t="str">
        <f t="shared" si="1"/>
        <v>OTROS</v>
      </c>
    </row>
    <row r="40" spans="1:6">
      <c r="A40" s="30" t="s">
        <v>252</v>
      </c>
      <c r="B40" s="30" t="s">
        <v>62</v>
      </c>
      <c r="C40" s="30" t="s">
        <v>11</v>
      </c>
      <c r="D40" s="4"/>
      <c r="E40" s="66" t="str">
        <f t="shared" si="0"/>
        <v xml:space="preserve">5.2.71 - Carta Acuerdo INTA -FAO ( TCP/RLA/3805) </v>
      </c>
      <c r="F40" s="66" t="str">
        <f t="shared" si="1"/>
        <v>OTROS</v>
      </c>
    </row>
    <row r="41" spans="1:6">
      <c r="A41" s="30" t="s">
        <v>253</v>
      </c>
      <c r="B41" s="30" t="s">
        <v>63</v>
      </c>
      <c r="C41" s="30" t="s">
        <v>31</v>
      </c>
      <c r="D41" s="4"/>
      <c r="E41" s="66" t="str">
        <f t="shared" si="0"/>
        <v xml:space="preserve">5.2.72 - PROCISUR – EDICIÓN GÉNICA </v>
      </c>
      <c r="F41" s="66" t="str">
        <f t="shared" si="1"/>
        <v>PROCISUR</v>
      </c>
    </row>
    <row r="42" spans="1:6">
      <c r="A42" s="30" t="s">
        <v>64</v>
      </c>
      <c r="B42" s="30" t="s">
        <v>65</v>
      </c>
      <c r="C42" s="30" t="s">
        <v>11</v>
      </c>
      <c r="D42" s="4"/>
      <c r="E42" s="66" t="str">
        <f t="shared" si="0"/>
        <v>5.2.73 - INTEGRITY</v>
      </c>
      <c r="F42" s="66" t="str">
        <f t="shared" si="1"/>
        <v>OTROS</v>
      </c>
    </row>
    <row r="43" spans="1:6">
      <c r="A43" s="30" t="s">
        <v>254</v>
      </c>
      <c r="B43" s="30" t="s">
        <v>66</v>
      </c>
      <c r="C43" s="30" t="s">
        <v>21</v>
      </c>
      <c r="D43" s="4"/>
      <c r="E43" s="66" t="str">
        <f t="shared" si="0"/>
        <v xml:space="preserve">5.2.74 - Carta Acuerdo INTA - FA - H2020 FERTIMANURE  </v>
      </c>
      <c r="F43" s="66" t="str">
        <f t="shared" si="1"/>
        <v>EU-H2020</v>
      </c>
    </row>
    <row r="44" spans="1:6">
      <c r="A44" s="30" t="s">
        <v>255</v>
      </c>
      <c r="B44" s="30" t="s">
        <v>67</v>
      </c>
      <c r="C44" s="30" t="s">
        <v>11</v>
      </c>
      <c r="D44" s="4"/>
      <c r="E44" s="66" t="str">
        <f t="shared" si="0"/>
        <v>5.2.75 - Carta Acuerdo INTA - FA – REZATEC</v>
      </c>
      <c r="F44" s="66" t="str">
        <f t="shared" si="1"/>
        <v>OTROS</v>
      </c>
    </row>
    <row r="45" spans="1:6">
      <c r="A45" s="30" t="s">
        <v>256</v>
      </c>
      <c r="B45" s="30" t="s">
        <v>68</v>
      </c>
      <c r="C45" s="30" t="s">
        <v>14</v>
      </c>
      <c r="D45" s="4"/>
      <c r="E45" s="66" t="str">
        <f t="shared" si="0"/>
        <v>5.2.76 - FTG- ATN/RR-18757-RG - EDICION GENICA</v>
      </c>
      <c r="F45" s="66" t="str">
        <f t="shared" si="1"/>
        <v>FONTAGRO</v>
      </c>
    </row>
    <row r="46" spans="1:6">
      <c r="A46" s="30" t="s">
        <v>257</v>
      </c>
      <c r="B46" s="30" t="s">
        <v>69</v>
      </c>
      <c r="C46" s="30" t="s">
        <v>14</v>
      </c>
      <c r="D46" s="4"/>
      <c r="E46" s="66" t="str">
        <f t="shared" si="0"/>
        <v>5.2.77 - FTG-ATN/RF-18786-RG - OXIDO NITROSO</v>
      </c>
      <c r="F46" s="66" t="str">
        <f t="shared" si="1"/>
        <v>FONTAGRO</v>
      </c>
    </row>
    <row r="47" spans="1:6">
      <c r="A47" s="30" t="s">
        <v>258</v>
      </c>
      <c r="B47" s="30" t="s">
        <v>70</v>
      </c>
      <c r="C47" s="30" t="s">
        <v>11</v>
      </c>
      <c r="D47" s="4"/>
      <c r="E47" s="66" t="str">
        <f t="shared" si="0"/>
        <v>5.2.78 - STE N° 2942 INTA-VETAL</v>
      </c>
      <c r="F47" s="66" t="str">
        <f t="shared" si="1"/>
        <v>OTROS</v>
      </c>
    </row>
    <row r="48" spans="1:6">
      <c r="A48" s="30" t="s">
        <v>71</v>
      </c>
      <c r="B48" s="30" t="s">
        <v>72</v>
      </c>
      <c r="C48" s="30" t="s">
        <v>11</v>
      </c>
      <c r="D48" s="4"/>
      <c r="E48" s="66" t="str">
        <f t="shared" si="0"/>
        <v>5.2.79 - The Nature Conservancy - Colecciones Nº 3, 4 y 5</v>
      </c>
      <c r="F48" s="66" t="str">
        <f t="shared" si="1"/>
        <v>OTROS</v>
      </c>
    </row>
    <row r="49" spans="1:6">
      <c r="A49" s="30" t="s">
        <v>73</v>
      </c>
      <c r="B49" s="30" t="s">
        <v>74</v>
      </c>
      <c r="C49" s="30" t="s">
        <v>11</v>
      </c>
      <c r="D49" s="4"/>
      <c r="E49" s="66" t="str">
        <f t="shared" si="0"/>
        <v>5.2.81 - C/A N° 4/2021 - INIDEP - IFOP</v>
      </c>
      <c r="F49" s="66" t="str">
        <f t="shared" si="1"/>
        <v>OTROS</v>
      </c>
    </row>
    <row r="50" spans="1:6">
      <c r="A50" s="30" t="s">
        <v>75</v>
      </c>
      <c r="B50" s="30" t="s">
        <v>76</v>
      </c>
      <c r="C50" s="30" t="s">
        <v>11</v>
      </c>
      <c r="D50" s="4"/>
      <c r="E50" s="66" t="str">
        <f t="shared" si="0"/>
        <v>5.2.82 - ACA- ATN/RR-18757-RG - EDICION GENICA</v>
      </c>
      <c r="F50" s="66" t="str">
        <f t="shared" si="1"/>
        <v>OTROS</v>
      </c>
    </row>
    <row r="51" spans="1:6">
      <c r="A51" s="30" t="s">
        <v>77</v>
      </c>
      <c r="B51" s="30" t="s">
        <v>78</v>
      </c>
      <c r="C51" s="30" t="s">
        <v>11</v>
      </c>
      <c r="D51" s="4"/>
      <c r="E51" s="66" t="str">
        <f t="shared" si="0"/>
        <v>5.2.83 - Contrato IAEA N° 25103</v>
      </c>
      <c r="F51" s="66" t="str">
        <f t="shared" si="1"/>
        <v>OTROS</v>
      </c>
    </row>
    <row r="52" spans="1:6">
      <c r="A52" s="30" t="s">
        <v>79</v>
      </c>
      <c r="B52" s="30" t="s">
        <v>80</v>
      </c>
      <c r="C52" s="30" t="s">
        <v>11</v>
      </c>
      <c r="D52" s="4"/>
      <c r="E52" s="66" t="str">
        <f t="shared" si="0"/>
        <v>5.2.84 - C/A INTA-FA Cabana</v>
      </c>
      <c r="F52" s="66" t="str">
        <f t="shared" si="1"/>
        <v>OTROS</v>
      </c>
    </row>
    <row r="53" spans="1:6">
      <c r="A53" s="30" t="s">
        <v>81</v>
      </c>
      <c r="B53" s="30" t="s">
        <v>82</v>
      </c>
      <c r="C53" s="30" t="s">
        <v>11</v>
      </c>
      <c r="D53" s="4"/>
      <c r="E53" s="66" t="str">
        <f t="shared" si="0"/>
        <v>5.2.85 - BUTANTAN</v>
      </c>
      <c r="F53" s="66" t="str">
        <f t="shared" si="1"/>
        <v>OTROS</v>
      </c>
    </row>
    <row r="54" spans="1:6">
      <c r="A54" s="30" t="s">
        <v>83</v>
      </c>
      <c r="B54" s="30" t="s">
        <v>84</v>
      </c>
      <c r="C54" s="30" t="s">
        <v>11</v>
      </c>
      <c r="D54" s="4"/>
      <c r="E54" s="66" t="str">
        <f t="shared" si="0"/>
        <v>5.2.86 - Donación ERM Foundation</v>
      </c>
      <c r="F54" s="66" t="str">
        <f t="shared" si="1"/>
        <v>OTROS</v>
      </c>
    </row>
    <row r="55" spans="1:6">
      <c r="A55" s="30" t="s">
        <v>85</v>
      </c>
      <c r="B55" s="30" t="s">
        <v>86</v>
      </c>
      <c r="C55" s="30" t="s">
        <v>21</v>
      </c>
      <c r="D55" s="4"/>
      <c r="E55" s="66" t="str">
        <f t="shared" si="0"/>
        <v>5.2.87 - H2020 - Se4All - GA N° 101007630</v>
      </c>
      <c r="F55" s="66" t="str">
        <f t="shared" si="1"/>
        <v>EU-H2020</v>
      </c>
    </row>
    <row r="56" spans="1:6">
      <c r="A56" s="30" t="s">
        <v>87</v>
      </c>
      <c r="B56" s="30" t="s">
        <v>88</v>
      </c>
      <c r="C56" s="30" t="s">
        <v>21</v>
      </c>
      <c r="D56" s="4"/>
      <c r="E56" s="66" t="str">
        <f t="shared" si="0"/>
        <v>5.2.88 - H2020 - BeXyl - GA N° 10106059</v>
      </c>
      <c r="F56" s="66" t="str">
        <f t="shared" si="1"/>
        <v>EU-H2020</v>
      </c>
    </row>
    <row r="57" spans="1:6">
      <c r="A57" s="30" t="s">
        <v>89</v>
      </c>
      <c r="B57" s="30" t="s">
        <v>90</v>
      </c>
      <c r="C57" s="30" t="s">
        <v>14</v>
      </c>
      <c r="D57" s="4"/>
      <c r="E57" s="66" t="str">
        <f t="shared" si="0"/>
        <v>5.2.89 - FTG- ATN/RF-18769-RG y ATN/RF-18770-RG.Secuestro de Carbono - Co Ejec INIA</v>
      </c>
      <c r="F57" s="66" t="str">
        <f t="shared" si="1"/>
        <v>FONTAGRO</v>
      </c>
    </row>
    <row r="58" spans="1:6">
      <c r="A58" s="30" t="s">
        <v>91</v>
      </c>
      <c r="B58" s="30" t="s">
        <v>92</v>
      </c>
      <c r="C58" s="30" t="s">
        <v>11</v>
      </c>
      <c r="D58" s="4"/>
      <c r="E58" s="66" t="str">
        <f t="shared" si="0"/>
        <v>5.2.9 - Babet Real 5 Acta Acuerdo INTA-FA</v>
      </c>
      <c r="F58" s="66" t="str">
        <f t="shared" si="1"/>
        <v>OTROS</v>
      </c>
    </row>
    <row r="59" spans="1:6">
      <c r="A59" s="30" t="s">
        <v>93</v>
      </c>
      <c r="B59" s="30" t="s">
        <v>94</v>
      </c>
      <c r="C59" s="30" t="s">
        <v>11</v>
      </c>
      <c r="D59" s="4"/>
      <c r="E59" s="66" t="str">
        <f t="shared" si="0"/>
        <v>5.2.90 - Consultoría CIAT - FA</v>
      </c>
      <c r="F59" s="66" t="str">
        <f t="shared" si="1"/>
        <v>OTROS</v>
      </c>
    </row>
    <row r="60" spans="1:6">
      <c r="A60" s="30" t="s">
        <v>95</v>
      </c>
      <c r="B60" s="30" t="s">
        <v>96</v>
      </c>
      <c r="C60" s="30" t="s">
        <v>97</v>
      </c>
      <c r="D60" s="4"/>
      <c r="E60" s="66" t="str">
        <f t="shared" si="0"/>
        <v>5.2.91 - AECID - Resolución ELLAS+ Núm. 2022/SPE/0000400088</v>
      </c>
      <c r="F60" s="66" t="str">
        <f t="shared" si="1"/>
        <v>AECID</v>
      </c>
    </row>
    <row r="61" spans="1:6">
      <c r="A61" s="30" t="s">
        <v>98</v>
      </c>
      <c r="B61" s="30" t="s">
        <v>99</v>
      </c>
      <c r="C61" s="30" t="s">
        <v>11</v>
      </c>
      <c r="D61" s="4"/>
      <c r="E61" s="66" t="str">
        <f t="shared" si="0"/>
        <v>5.2.92 - Consultoría - CEPAL (Proyecto Facility)</v>
      </c>
      <c r="F61" s="66" t="str">
        <f t="shared" si="1"/>
        <v>OTROS</v>
      </c>
    </row>
    <row r="62" spans="1:6">
      <c r="A62" s="30" t="s">
        <v>259</v>
      </c>
      <c r="B62" s="30" t="s">
        <v>260</v>
      </c>
      <c r="C62" s="30" t="s">
        <v>11</v>
      </c>
      <c r="D62" s="30"/>
      <c r="E62" s="66" t="str">
        <f t="shared" si="0"/>
        <v>5.2.93 - IAEA N° 24797</v>
      </c>
      <c r="F62" s="66" t="str">
        <f t="shared" si="1"/>
        <v>OTROS</v>
      </c>
    </row>
    <row r="63" spans="1:6">
      <c r="A63" s="30" t="s">
        <v>261</v>
      </c>
      <c r="B63" s="66" t="s">
        <v>262</v>
      </c>
      <c r="C63" s="30" t="s">
        <v>14</v>
      </c>
      <c r="D63" s="30"/>
      <c r="E63" s="66" t="str">
        <f t="shared" si="0"/>
        <v xml:space="preserve">5.2.94 - FTG - Monitoreo satelital de cantidad y calidad de biomasa disponible en sistemas ganaderos pastoriles de ALC </v>
      </c>
      <c r="F63" s="66" t="str">
        <f t="shared" si="1"/>
        <v>FONTAGRO</v>
      </c>
    </row>
    <row r="64" spans="1:6">
      <c r="A64" s="30" t="s">
        <v>263</v>
      </c>
      <c r="B64" s="66" t="s">
        <v>386</v>
      </c>
      <c r="C64" s="30" t="s">
        <v>14</v>
      </c>
      <c r="D64" s="30"/>
      <c r="E64" s="66" t="str">
        <f t="shared" si="0"/>
        <v>5.2.95 - “FONDO SEMILLA - Enabling Indigenous Climate Smart Agriculture Resilience in the Latin America and Caribbean Region”</v>
      </c>
      <c r="F64" s="66" t="str">
        <f t="shared" si="1"/>
        <v>FONTAGRO</v>
      </c>
    </row>
    <row r="65" spans="1:6">
      <c r="A65" s="30" t="s">
        <v>264</v>
      </c>
      <c r="B65" s="30" t="s">
        <v>265</v>
      </c>
      <c r="C65" s="30" t="s">
        <v>11</v>
      </c>
      <c r="D65" s="30"/>
      <c r="E65" s="66" t="str">
        <f t="shared" si="0"/>
        <v>5.2.96 - Distinción franco - argentina - IFA</v>
      </c>
      <c r="F65" s="66" t="str">
        <f t="shared" si="1"/>
        <v>OTROS</v>
      </c>
    </row>
    <row r="66" spans="1:6">
      <c r="A66" s="30" t="s">
        <v>266</v>
      </c>
      <c r="B66" s="30" t="s">
        <v>267</v>
      </c>
      <c r="C66" s="30" t="s">
        <v>11</v>
      </c>
      <c r="D66" s="30"/>
      <c r="E66" s="66" t="str">
        <f t="shared" si="0"/>
        <v xml:space="preserve">5.2.97 - OEA - MINCYT </v>
      </c>
      <c r="F66" s="66" t="str">
        <f t="shared" si="1"/>
        <v>OTROS</v>
      </c>
    </row>
    <row r="67" spans="1:6">
      <c r="A67" s="30" t="s">
        <v>268</v>
      </c>
      <c r="B67" s="30" t="s">
        <v>269</v>
      </c>
      <c r="C67" s="30" t="s">
        <v>11</v>
      </c>
      <c r="D67" s="30"/>
      <c r="E67" s="66" t="str">
        <f t="shared" ref="E67:E100" si="2">CONCATENATE(A67," - ",B67)</f>
        <v xml:space="preserve">5.2.98 - Consultoría - PROGREEN (Banco Mundial) </v>
      </c>
      <c r="F67" s="66" t="str">
        <f t="shared" ref="F67:F100" si="3">+C67</f>
        <v>OTROS</v>
      </c>
    </row>
    <row r="68" spans="1:6">
      <c r="A68" s="30" t="s">
        <v>270</v>
      </c>
      <c r="B68" s="30" t="s">
        <v>271</v>
      </c>
      <c r="C68" s="30" t="s">
        <v>11</v>
      </c>
      <c r="D68" s="30"/>
      <c r="E68" s="66" t="str">
        <f t="shared" si="2"/>
        <v>5.2.99 - Contrato de consultoría ICTA - Guatemala</v>
      </c>
      <c r="F68" s="66" t="str">
        <f t="shared" si="3"/>
        <v>OTROS</v>
      </c>
    </row>
    <row r="69" spans="1:6">
      <c r="A69" s="30" t="s">
        <v>317</v>
      </c>
      <c r="B69" s="30" t="s">
        <v>318</v>
      </c>
      <c r="C69" s="30" t="s">
        <v>11</v>
      </c>
      <c r="D69" s="30"/>
      <c r="E69" s="66" t="str">
        <f t="shared" si="2"/>
        <v>5.2.100 - STE Dollvet</v>
      </c>
      <c r="F69" s="66" t="str">
        <f t="shared" si="3"/>
        <v>OTROS</v>
      </c>
    </row>
    <row r="70" spans="1:6">
      <c r="A70" s="30" t="s">
        <v>319</v>
      </c>
      <c r="B70" s="30" t="s">
        <v>320</v>
      </c>
      <c r="C70" s="30" t="s">
        <v>11</v>
      </c>
      <c r="D70" s="30"/>
      <c r="E70" s="66" t="str">
        <f t="shared" si="2"/>
        <v>5.2.101 - CRDF GLOBAL - Grant Agreement N° G-202302-69885</v>
      </c>
      <c r="F70" s="66" t="str">
        <f t="shared" si="3"/>
        <v>OTROS</v>
      </c>
    </row>
    <row r="71" spans="1:6">
      <c r="A71" s="30" t="s">
        <v>321</v>
      </c>
      <c r="B71" s="30" t="s">
        <v>322</v>
      </c>
      <c r="C71" s="30" t="s">
        <v>11</v>
      </c>
      <c r="D71" s="30"/>
      <c r="E71" s="66" t="str">
        <f t="shared" si="2"/>
        <v>5.2.102 - C/A INTA - F.A. CONSULTORIA FCFP</v>
      </c>
      <c r="F71" s="66" t="str">
        <f t="shared" si="3"/>
        <v>OTROS</v>
      </c>
    </row>
    <row r="72" spans="1:6">
      <c r="A72" s="30" t="s">
        <v>328</v>
      </c>
      <c r="B72" s="30" t="s">
        <v>329</v>
      </c>
      <c r="C72" s="30" t="s">
        <v>11</v>
      </c>
      <c r="D72" s="30"/>
      <c r="E72" s="66" t="str">
        <f t="shared" si="2"/>
        <v>5.2.103 - GFRA/CRDF - Mansilla</v>
      </c>
      <c r="F72" s="66" t="str">
        <f t="shared" si="3"/>
        <v>OTROS</v>
      </c>
    </row>
    <row r="73" spans="1:6">
      <c r="A73" s="30" t="s">
        <v>330</v>
      </c>
      <c r="B73" s="30" t="s">
        <v>331</v>
      </c>
      <c r="C73" s="30" t="s">
        <v>11</v>
      </c>
      <c r="D73" s="30"/>
      <c r="E73" s="66" t="str">
        <f t="shared" si="2"/>
        <v>5.2.104 - GFRA/CRDF - Konig</v>
      </c>
      <c r="F73" s="66" t="str">
        <f t="shared" si="3"/>
        <v>OTROS</v>
      </c>
    </row>
    <row r="74" spans="1:6">
      <c r="A74" s="30" t="s">
        <v>332</v>
      </c>
      <c r="B74" s="30" t="s">
        <v>333</v>
      </c>
      <c r="C74" s="30" t="s">
        <v>11</v>
      </c>
      <c r="D74" s="30"/>
      <c r="E74" s="66" t="str">
        <f t="shared" si="2"/>
        <v>5.2.105 - Contrato Global Factor</v>
      </c>
      <c r="F74" s="66" t="str">
        <f t="shared" si="3"/>
        <v>OTROS</v>
      </c>
    </row>
    <row r="75" spans="1:6">
      <c r="A75" s="30" t="s">
        <v>334</v>
      </c>
      <c r="B75" s="30" t="s">
        <v>335</v>
      </c>
      <c r="C75" s="30" t="s">
        <v>11</v>
      </c>
      <c r="D75" s="30"/>
      <c r="E75" s="66" t="str">
        <f t="shared" si="2"/>
        <v>5.2.106 - CRDF GLOBAL C70039</v>
      </c>
      <c r="F75" s="66" t="str">
        <f t="shared" si="3"/>
        <v>OTROS</v>
      </c>
    </row>
    <row r="76" spans="1:6">
      <c r="A76" s="30" t="s">
        <v>336</v>
      </c>
      <c r="B76" s="30" t="s">
        <v>337</v>
      </c>
      <c r="C76" s="30" t="s">
        <v>11</v>
      </c>
      <c r="D76" s="4"/>
      <c r="E76" s="66" t="str">
        <f t="shared" si="2"/>
        <v>5.2.107 - C/A INTA - FA - Univ. De Georgia</v>
      </c>
      <c r="F76" s="66" t="str">
        <f t="shared" si="3"/>
        <v>OTROS</v>
      </c>
    </row>
    <row r="77" spans="1:6">
      <c r="A77" s="30" t="s">
        <v>338</v>
      </c>
      <c r="B77" s="30" t="s">
        <v>339</v>
      </c>
      <c r="C77" s="30" t="s">
        <v>14</v>
      </c>
      <c r="D77" s="4"/>
      <c r="E77" s="66" t="str">
        <f t="shared" si="2"/>
        <v>5.2.108 - FTG - Bienestar Fincas Ganaderas</v>
      </c>
      <c r="F77" s="66" t="str">
        <f t="shared" si="3"/>
        <v>FONTAGRO</v>
      </c>
    </row>
    <row r="78" spans="1:6">
      <c r="A78" s="30" t="s">
        <v>340</v>
      </c>
      <c r="B78" s="30" t="s">
        <v>341</v>
      </c>
      <c r="C78" s="30" t="s">
        <v>14</v>
      </c>
      <c r="D78" s="4"/>
      <c r="E78" s="66" t="str">
        <f t="shared" si="2"/>
        <v>5.2.109 - FTG - Ganadería Comunidades Mapuches</v>
      </c>
      <c r="F78" s="66" t="str">
        <f t="shared" si="3"/>
        <v>FONTAGRO</v>
      </c>
    </row>
    <row r="79" spans="1:6">
      <c r="A79" s="30" t="s">
        <v>342</v>
      </c>
      <c r="B79" s="30" t="s">
        <v>343</v>
      </c>
      <c r="C79" s="30" t="s">
        <v>14</v>
      </c>
      <c r="D79" s="4"/>
      <c r="E79" s="66" t="str">
        <f t="shared" si="2"/>
        <v>5.2.110 - FTG - MPI - Ganadería Comunidades Mapuches</v>
      </c>
      <c r="F79" s="66" t="str">
        <f t="shared" si="3"/>
        <v>FONTAGRO</v>
      </c>
    </row>
    <row r="80" spans="1:6">
      <c r="A80" s="30" t="s">
        <v>344</v>
      </c>
      <c r="B80" s="30" t="s">
        <v>345</v>
      </c>
      <c r="C80" s="30" t="s">
        <v>14</v>
      </c>
      <c r="D80" s="4"/>
      <c r="E80" s="66" t="str">
        <f t="shared" si="2"/>
        <v>5.2.111 - FTG - Red de Fincas</v>
      </c>
      <c r="F80" s="66" t="str">
        <f t="shared" si="3"/>
        <v>FONTAGRO</v>
      </c>
    </row>
    <row r="81" spans="1:6">
      <c r="A81" s="30" t="s">
        <v>346</v>
      </c>
      <c r="B81" s="30" t="s">
        <v>347</v>
      </c>
      <c r="C81" s="30" t="s">
        <v>11</v>
      </c>
      <c r="D81" s="4"/>
      <c r="E81" s="66" t="str">
        <f t="shared" si="2"/>
        <v>5.2.112 - C/A INTA FA-Regante</v>
      </c>
      <c r="F81" s="66" t="str">
        <f t="shared" si="3"/>
        <v>OTROS</v>
      </c>
    </row>
    <row r="82" spans="1:6">
      <c r="A82" s="30" t="s">
        <v>348</v>
      </c>
      <c r="B82" s="30" t="s">
        <v>349</v>
      </c>
      <c r="C82" s="30" t="s">
        <v>11</v>
      </c>
      <c r="D82" s="4"/>
      <c r="E82" s="66" t="str">
        <f t="shared" si="2"/>
        <v>5.2.113 - Acuerdo Universidad Naciones Unidas</v>
      </c>
      <c r="F82" s="66" t="str">
        <f t="shared" si="3"/>
        <v>OTROS</v>
      </c>
    </row>
    <row r="83" spans="1:6">
      <c r="A83" s="30" t="s">
        <v>350</v>
      </c>
      <c r="B83" s="30" t="s">
        <v>351</v>
      </c>
      <c r="C83" s="30" t="s">
        <v>11</v>
      </c>
      <c r="D83" s="4"/>
      <c r="E83" s="66" t="str">
        <f t="shared" si="2"/>
        <v>5.2.114 - Emory</v>
      </c>
      <c r="F83" s="66" t="str">
        <f t="shared" si="3"/>
        <v>OTROS</v>
      </c>
    </row>
    <row r="84" spans="1:6">
      <c r="A84" s="30" t="s">
        <v>352</v>
      </c>
      <c r="B84" s="30" t="s">
        <v>353</v>
      </c>
      <c r="C84" s="30" t="s">
        <v>11</v>
      </c>
      <c r="D84" s="4"/>
      <c r="E84" s="66" t="str">
        <f t="shared" si="2"/>
        <v>5.2.115 - INTA-FA Frutales</v>
      </c>
      <c r="F84" s="66" t="str">
        <f t="shared" si="3"/>
        <v>OTROS</v>
      </c>
    </row>
    <row r="85" spans="1:6">
      <c r="A85" s="30" t="s">
        <v>354</v>
      </c>
      <c r="B85" s="30" t="s">
        <v>355</v>
      </c>
      <c r="C85" s="30" t="s">
        <v>14</v>
      </c>
      <c r="D85" s="4"/>
      <c r="E85" s="66" t="str">
        <f t="shared" si="2"/>
        <v>5.2.116 - Co-ejecución FTG Rumiantes</v>
      </c>
      <c r="F85" s="66" t="str">
        <f t="shared" si="3"/>
        <v>FONTAGRO</v>
      </c>
    </row>
    <row r="86" spans="1:6">
      <c r="A86" s="30" t="s">
        <v>356</v>
      </c>
      <c r="B86" s="30" t="s">
        <v>357</v>
      </c>
      <c r="C86" s="30" t="s">
        <v>11</v>
      </c>
      <c r="D86" s="4"/>
      <c r="E86" s="66" t="str">
        <f t="shared" si="2"/>
        <v>5.2.117 - Acuerdo de Cooperación Bioma</v>
      </c>
      <c r="F86" s="66" t="str">
        <f t="shared" si="3"/>
        <v>OTROS</v>
      </c>
    </row>
    <row r="87" spans="1:6">
      <c r="A87" s="30" t="s">
        <v>358</v>
      </c>
      <c r="B87" s="30" t="s">
        <v>359</v>
      </c>
      <c r="C87" s="30" t="s">
        <v>14</v>
      </c>
      <c r="D87" s="4"/>
      <c r="E87" s="66" t="str">
        <f t="shared" si="2"/>
        <v>5.2.118 - FTG-Fondo Semilla HLB</v>
      </c>
      <c r="F87" s="66" t="str">
        <f t="shared" si="3"/>
        <v>FONTAGRO</v>
      </c>
    </row>
    <row r="88" spans="1:6">
      <c r="A88" s="30" t="s">
        <v>360</v>
      </c>
      <c r="B88" s="30" t="s">
        <v>361</v>
      </c>
      <c r="C88" s="30" t="s">
        <v>11</v>
      </c>
      <c r="D88" s="4"/>
      <c r="E88" s="66" t="str">
        <f t="shared" si="2"/>
        <v>5.2.119 - C. A. INTA - F.A. - Phy2Climate (H2020)</v>
      </c>
      <c r="F88" s="66" t="str">
        <f t="shared" si="3"/>
        <v>OTROS</v>
      </c>
    </row>
    <row r="89" spans="1:6">
      <c r="A89" s="30" t="s">
        <v>362</v>
      </c>
      <c r="B89" s="30" t="s">
        <v>363</v>
      </c>
      <c r="C89" s="30" t="s">
        <v>11</v>
      </c>
      <c r="D89" s="4"/>
      <c r="E89" s="66" t="str">
        <f t="shared" si="2"/>
        <v>5.2.120 - Consultoría BID - INA</v>
      </c>
      <c r="F89" s="66" t="str">
        <f t="shared" si="3"/>
        <v>OTROS</v>
      </c>
    </row>
    <row r="90" spans="1:6">
      <c r="A90" s="30" t="s">
        <v>364</v>
      </c>
      <c r="B90" s="30" t="s">
        <v>365</v>
      </c>
      <c r="C90" s="30" t="s">
        <v>14</v>
      </c>
      <c r="D90" s="4"/>
      <c r="E90" s="66" t="str">
        <f t="shared" si="2"/>
        <v>5.2.121 - Co-ejecución INIA Chile Uso Nitrógeno</v>
      </c>
      <c r="F90" s="66" t="str">
        <f t="shared" si="3"/>
        <v>FONTAGRO</v>
      </c>
    </row>
    <row r="91" spans="1:6">
      <c r="A91" s="30" t="s">
        <v>366</v>
      </c>
      <c r="B91" s="30" t="s">
        <v>367</v>
      </c>
      <c r="C91" s="30" t="s">
        <v>11</v>
      </c>
      <c r="D91" s="4"/>
      <c r="E91" s="66" t="str">
        <f t="shared" si="2"/>
        <v>5.2.122 - Acuerdo USDA Immunogenicity</v>
      </c>
      <c r="F91" s="66" t="str">
        <f t="shared" si="3"/>
        <v>OTROS</v>
      </c>
    </row>
    <row r="92" spans="1:6">
      <c r="A92" s="30" t="s">
        <v>368</v>
      </c>
      <c r="B92" s="30" t="s">
        <v>369</v>
      </c>
      <c r="C92" s="30" t="s">
        <v>11</v>
      </c>
      <c r="D92" s="4"/>
      <c r="E92" s="66" t="str">
        <f t="shared" si="2"/>
        <v>5.2.123 - C/A INTA-FA BeXyl</v>
      </c>
      <c r="F92" s="66" t="str">
        <f t="shared" si="3"/>
        <v>OTROS</v>
      </c>
    </row>
    <row r="93" spans="1:6">
      <c r="A93" s="30" t="s">
        <v>370</v>
      </c>
      <c r="B93" s="30" t="s">
        <v>371</v>
      </c>
      <c r="C93" s="30" t="s">
        <v>11</v>
      </c>
      <c r="D93" s="4"/>
      <c r="E93" s="66" t="str">
        <f t="shared" si="2"/>
        <v>5.2.124 - FAJ - FA</v>
      </c>
      <c r="F93" s="66" t="str">
        <f t="shared" si="3"/>
        <v>OTROS</v>
      </c>
    </row>
    <row r="94" spans="1:6">
      <c r="A94" s="30" t="s">
        <v>372</v>
      </c>
      <c r="B94" s="30" t="s">
        <v>373</v>
      </c>
      <c r="C94" s="30" t="s">
        <v>11</v>
      </c>
      <c r="D94" s="4"/>
      <c r="E94" s="66" t="str">
        <f t="shared" si="2"/>
        <v>5.2.125 - STE 2604 CENIPALMA</v>
      </c>
      <c r="F94" s="66" t="str">
        <f t="shared" si="3"/>
        <v>OTROS</v>
      </c>
    </row>
    <row r="95" spans="1:6">
      <c r="A95" s="30" t="s">
        <v>374</v>
      </c>
      <c r="B95" s="30" t="s">
        <v>375</v>
      </c>
      <c r="C95" s="30" t="s">
        <v>11</v>
      </c>
      <c r="D95" s="4"/>
      <c r="E95" s="66" t="str">
        <f t="shared" si="2"/>
        <v>5.2.126 - Acuerdo Univ. de Belfast</v>
      </c>
      <c r="F95" s="66" t="str">
        <f t="shared" si="3"/>
        <v>OTROS</v>
      </c>
    </row>
    <row r="96" spans="1:6">
      <c r="A96" s="30" t="s">
        <v>376</v>
      </c>
      <c r="B96" s="30" t="s">
        <v>377</v>
      </c>
      <c r="C96" s="30" t="s">
        <v>11</v>
      </c>
      <c r="D96" s="4"/>
      <c r="E96" s="66" t="str">
        <f t="shared" si="2"/>
        <v>5.2.127 - Consultoría BID RG-T4294-P001 - Plataforma Pueblos</v>
      </c>
      <c r="F96" s="66" t="str">
        <f t="shared" si="3"/>
        <v>OTROS</v>
      </c>
    </row>
    <row r="97" spans="1:6">
      <c r="A97" s="30" t="s">
        <v>378</v>
      </c>
      <c r="B97" s="30" t="s">
        <v>379</v>
      </c>
      <c r="C97" s="30" t="s">
        <v>11</v>
      </c>
      <c r="D97" s="4"/>
      <c r="E97" s="66" t="str">
        <f t="shared" si="2"/>
        <v>5.2.128 - Consultoría BID RG-T4260-P001 - Actualización Imve</v>
      </c>
      <c r="F97" s="66" t="str">
        <f t="shared" si="3"/>
        <v>OTROS</v>
      </c>
    </row>
    <row r="98" spans="1:6">
      <c r="A98" s="30" t="s">
        <v>380</v>
      </c>
      <c r="B98" s="30" t="s">
        <v>381</v>
      </c>
      <c r="C98" s="30" t="s">
        <v>11</v>
      </c>
      <c r="D98" s="4"/>
      <c r="E98" s="66" t="str">
        <f t="shared" si="2"/>
        <v>5.2.129 - C/A 1/25 INIDEP - FA Donación Schmidt Sciences</v>
      </c>
      <c r="F98" s="66" t="str">
        <f t="shared" si="3"/>
        <v>OTROS</v>
      </c>
    </row>
    <row r="99" spans="1:6">
      <c r="A99" s="30" t="s">
        <v>382</v>
      </c>
      <c r="B99" s="30" t="s">
        <v>383</v>
      </c>
      <c r="C99" s="30" t="s">
        <v>11</v>
      </c>
      <c r="D99" s="4"/>
      <c r="E99" s="66" t="str">
        <f t="shared" si="2"/>
        <v>5.2.130 - CA INTA-FAO Proyecto PPR REDD+</v>
      </c>
      <c r="F99" s="66" t="str">
        <f t="shared" si="3"/>
        <v>OTROS</v>
      </c>
    </row>
    <row r="100" spans="1:6">
      <c r="A100" s="30" t="s">
        <v>387</v>
      </c>
      <c r="B100" s="30" t="s">
        <v>388</v>
      </c>
      <c r="C100" s="30" t="s">
        <v>11</v>
      </c>
      <c r="D100" s="4"/>
      <c r="E100" s="66" t="str">
        <f t="shared" si="2"/>
        <v>5.2.131 - CA FAO-INTA Balance de C en MBGI</v>
      </c>
      <c r="F100" s="66" t="str">
        <f t="shared" si="3"/>
        <v>OTROS</v>
      </c>
    </row>
    <row r="101" spans="1:6">
      <c r="A101" s="30" t="s">
        <v>389</v>
      </c>
      <c r="B101" s="30" t="s">
        <v>390</v>
      </c>
      <c r="C101" s="30" t="s">
        <v>11</v>
      </c>
      <c r="D101" s="4"/>
      <c r="E101" s="66" t="str">
        <f t="shared" ref="E101:E141" si="4">CONCATENATE(A101," - ",B101)</f>
        <v>5.2.132 - C/A INTA H2020 ProCEedS</v>
      </c>
      <c r="F101" s="66" t="str">
        <f t="shared" ref="F101:F110" si="5">+C101</f>
        <v>OTROS</v>
      </c>
    </row>
    <row r="102" spans="1:6">
      <c r="A102" s="30" t="s">
        <v>391</v>
      </c>
      <c r="B102" s="30" t="s">
        <v>392</v>
      </c>
      <c r="C102" s="30" t="s">
        <v>11</v>
      </c>
      <c r="D102" s="4"/>
      <c r="E102" s="66" t="str">
        <f t="shared" si="4"/>
        <v>5.2.133 - FAO - Cuenca Forestal Caimancito LOA/FAOAR/PPR/037</v>
      </c>
      <c r="F102" s="66" t="str">
        <f t="shared" si="5"/>
        <v>OTROS</v>
      </c>
    </row>
    <row r="103" spans="1:6">
      <c r="A103" s="30" t="s">
        <v>393</v>
      </c>
      <c r="B103" s="30" t="s">
        <v>394</v>
      </c>
      <c r="C103" s="30" t="s">
        <v>11</v>
      </c>
      <c r="D103" s="4"/>
      <c r="E103" s="66" t="str">
        <f t="shared" si="4"/>
        <v>5.2.134 - Consultoría BID #RG-4500-P003 Indicadores de Sostenibilidad de la Ganaderia Bovina</v>
      </c>
      <c r="F103" s="66" t="str">
        <f t="shared" si="5"/>
        <v>OTROS</v>
      </c>
    </row>
    <row r="104" spans="1:6">
      <c r="A104" s="30" t="s">
        <v>395</v>
      </c>
      <c r="B104" s="30" t="s">
        <v>396</v>
      </c>
      <c r="C104" s="30" t="s">
        <v>11</v>
      </c>
      <c r="D104" s="4"/>
      <c r="E104" s="66" t="str">
        <f t="shared" si="4"/>
        <v>5.2.135 - H2020 MSCA-RISE: TRACEWINDU</v>
      </c>
      <c r="F104" s="66" t="str">
        <f t="shared" si="5"/>
        <v>OTROS</v>
      </c>
    </row>
    <row r="105" spans="1:6">
      <c r="A105" s="30" t="s">
        <v>397</v>
      </c>
      <c r="B105" s="30" t="s">
        <v>398</v>
      </c>
      <c r="C105" s="30" t="s">
        <v>11</v>
      </c>
      <c r="D105" s="4"/>
      <c r="E105" s="66" t="str">
        <f t="shared" si="4"/>
        <v>5.2.136 - Consultoria BID  RG-T4260-P003 Cons. Agroecosistemas</v>
      </c>
      <c r="F105" s="66" t="str">
        <f t="shared" si="5"/>
        <v>OTROS</v>
      </c>
    </row>
    <row r="106" spans="1:6">
      <c r="A106" s="30" t="s">
        <v>399</v>
      </c>
      <c r="B106" s="30" t="s">
        <v>400</v>
      </c>
      <c r="C106" s="30" t="s">
        <v>11</v>
      </c>
      <c r="D106" s="4"/>
      <c r="E106" s="66" t="str">
        <f t="shared" si="4"/>
        <v>5.2.137 - FAO Grupo Bosque Zomo - Neuquen</v>
      </c>
      <c r="F106" s="66" t="str">
        <f t="shared" si="5"/>
        <v>OTROS</v>
      </c>
    </row>
    <row r="107" spans="1:6">
      <c r="A107" s="30" t="s">
        <v>401</v>
      </c>
      <c r="B107" s="30" t="s">
        <v>402</v>
      </c>
      <c r="C107" s="30" t="s">
        <v>11</v>
      </c>
      <c r="D107" s="4"/>
      <c r="E107" s="66" t="str">
        <f t="shared" si="4"/>
        <v>5.2.138 - FAO TCP/RLA/4005</v>
      </c>
      <c r="F107" s="66" t="str">
        <f t="shared" si="5"/>
        <v>OTROS</v>
      </c>
    </row>
    <row r="108" spans="1:6">
      <c r="A108" s="30" t="s">
        <v>403</v>
      </c>
      <c r="B108" s="30" t="s">
        <v>404</v>
      </c>
      <c r="C108" s="30" t="s">
        <v>11</v>
      </c>
      <c r="D108" s="4"/>
      <c r="E108" s="66" t="str">
        <f t="shared" si="4"/>
        <v>5.2.139 - FAO CDA Jujuy MBGI INTA</v>
      </c>
      <c r="F108" s="66" t="str">
        <f t="shared" si="5"/>
        <v>OTROS</v>
      </c>
    </row>
    <row r="109" spans="1:6">
      <c r="A109" s="30" t="s">
        <v>405</v>
      </c>
      <c r="B109" s="30" t="s">
        <v>406</v>
      </c>
      <c r="C109" s="30" t="s">
        <v>11</v>
      </c>
      <c r="D109" s="4"/>
      <c r="E109" s="66" t="str">
        <f t="shared" si="4"/>
        <v>5.2.140 - FAO - CDA Tucumán MBGI INTA</v>
      </c>
      <c r="F109" s="66" t="str">
        <f t="shared" si="5"/>
        <v>OTROS</v>
      </c>
    </row>
    <row r="110" spans="1:6">
      <c r="A110" s="30" t="s">
        <v>407</v>
      </c>
      <c r="B110" s="30" t="s">
        <v>408</v>
      </c>
      <c r="C110" s="30" t="s">
        <v>11</v>
      </c>
      <c r="D110" s="4"/>
      <c r="E110" s="66" t="str">
        <f t="shared" si="4"/>
        <v>5.2.141 - FAO - Plan Manejo de Bosques Neuquén</v>
      </c>
      <c r="F110" s="66" t="str">
        <f t="shared" si="5"/>
        <v>OTROS</v>
      </c>
    </row>
    <row r="111" spans="1:6">
      <c r="A111" s="30" t="s">
        <v>409</v>
      </c>
      <c r="B111" s="30" t="s">
        <v>410</v>
      </c>
      <c r="C111" s="30"/>
      <c r="D111" s="4"/>
      <c r="E111" s="66" t="str">
        <f t="shared" si="4"/>
        <v>5.2.142 - Consultoría Fundación Vida Silvestre</v>
      </c>
    </row>
    <row r="112" spans="1:6">
      <c r="A112" s="30" t="s">
        <v>411</v>
      </c>
      <c r="B112" s="30" t="s">
        <v>412</v>
      </c>
      <c r="C112" s="30"/>
      <c r="D112" s="4"/>
      <c r="E112" s="66" t="str">
        <f t="shared" si="4"/>
        <v>5.2.143 - FAO - MBGI Río Negro</v>
      </c>
    </row>
    <row r="113" spans="1:6">
      <c r="A113" s="30" t="s">
        <v>413</v>
      </c>
      <c r="B113" s="30" t="s">
        <v>414</v>
      </c>
      <c r="C113" s="30"/>
      <c r="D113" s="4"/>
      <c r="E113" s="66" t="str">
        <f t="shared" si="4"/>
        <v>5.2.144 - FAO-MBGI-BUENOS AIRES</v>
      </c>
    </row>
    <row r="114" spans="1:6">
      <c r="A114" s="30" t="s">
        <v>415</v>
      </c>
      <c r="B114" s="30" t="s">
        <v>416</v>
      </c>
      <c r="C114" s="30"/>
      <c r="D114" s="4"/>
      <c r="E114" s="66" t="str">
        <f t="shared" si="4"/>
        <v>5.2.145 - Co-Ejec. ATN/RF-21533-RG Sist. Pastoriles</v>
      </c>
    </row>
    <row r="115" spans="1:6">
      <c r="A115" s="30" t="s">
        <v>417</v>
      </c>
      <c r="B115" s="30" t="s">
        <v>418</v>
      </c>
      <c r="C115" s="30"/>
      <c r="D115" s="4"/>
      <c r="E115" s="66" t="str">
        <f t="shared" si="4"/>
        <v>5.2.146 - CurveBend-NWO</v>
      </c>
    </row>
    <row r="116" spans="1:6">
      <c r="A116" s="30" t="s">
        <v>419</v>
      </c>
      <c r="B116" s="30" t="s">
        <v>420</v>
      </c>
      <c r="C116" s="30"/>
      <c r="D116" s="4"/>
      <c r="E116" s="66" t="str">
        <f t="shared" si="4"/>
        <v>5.2.147 - ATN/ RF- 21539- RG PAPA Y SEMILLA</v>
      </c>
    </row>
    <row r="117" spans="1:6">
      <c r="A117" s="30" t="s">
        <v>421</v>
      </c>
      <c r="B117" s="30" t="s">
        <v>422</v>
      </c>
      <c r="C117" s="30"/>
      <c r="D117" s="4"/>
      <c r="E117" s="66" t="str">
        <f t="shared" si="4"/>
        <v>5.2.148 - FAO - INTA MBGI Santiago del Estero</v>
      </c>
    </row>
    <row r="118" spans="1:6">
      <c r="A118" s="30" t="s">
        <v>423</v>
      </c>
      <c r="B118" s="30" t="s">
        <v>424</v>
      </c>
      <c r="C118" s="30"/>
      <c r="D118" s="4"/>
      <c r="E118" s="66" t="str">
        <f t="shared" si="4"/>
        <v>5.2.149 - TECHNOSERVE - MOZAMBIQUE -</v>
      </c>
    </row>
    <row r="119" spans="1:6">
      <c r="A119" s="30" t="s">
        <v>425</v>
      </c>
      <c r="B119" s="30" t="s">
        <v>426</v>
      </c>
      <c r="C119" s="30"/>
      <c r="D119" s="4"/>
      <c r="E119" s="66" t="str">
        <f t="shared" si="4"/>
        <v>5.2.150 - ATN/RF 21532 - RG SIST. PRODUCTIVOS</v>
      </c>
    </row>
    <row r="120" spans="1:6">
      <c r="A120" s="30" t="s">
        <v>427</v>
      </c>
      <c r="B120" s="30" t="s">
        <v>428</v>
      </c>
      <c r="C120" s="30"/>
      <c r="D120" s="4"/>
      <c r="E120" s="66" t="str">
        <f t="shared" si="4"/>
        <v>5.2.151 - IICA-F.A.-FIDA Raíces</v>
      </c>
    </row>
    <row r="121" spans="1:6">
      <c r="A121" s="30" t="s">
        <v>429</v>
      </c>
      <c r="B121" s="30" t="s">
        <v>430</v>
      </c>
      <c r="C121" s="30"/>
      <c r="D121" s="4"/>
      <c r="E121" s="66" t="str">
        <f t="shared" si="4"/>
        <v>5.2.152 - INA.SC.LH.PROY.1919 - PROT N° 1919 "UNQ CA 60/25"</v>
      </c>
      <c r="F121" s="66"/>
    </row>
    <row r="122" spans="1:6">
      <c r="A122" s="30" t="s">
        <v>431</v>
      </c>
      <c r="B122" s="30" t="s">
        <v>432</v>
      </c>
      <c r="C122" s="30"/>
      <c r="D122" s="4"/>
      <c r="E122" s="66" t="str">
        <f t="shared" si="4"/>
        <v>5.2.153 - FAO - Lapacho Argentina</v>
      </c>
      <c r="F122" s="66"/>
    </row>
    <row r="123" spans="1:6">
      <c r="A123" s="30" t="s">
        <v>433</v>
      </c>
      <c r="B123" s="30" t="s">
        <v>434</v>
      </c>
      <c r="C123" s="30"/>
      <c r="D123" s="4"/>
      <c r="E123" s="66" t="str">
        <f t="shared" si="4"/>
        <v>5.2.154 - G.M.H. - Gran Chaco Ganadero</v>
      </c>
      <c r="F123" s="66"/>
    </row>
    <row r="124" spans="1:6">
      <c r="A124" s="30" t="s">
        <v>435</v>
      </c>
      <c r="B124" s="30" t="s">
        <v>436</v>
      </c>
      <c r="C124" s="30"/>
      <c r="D124" s="4"/>
      <c r="E124" s="66" t="str">
        <f t="shared" si="4"/>
        <v>5.2.155 - Consultoria PNUD Acceso al Agua en el Gran Chaco</v>
      </c>
      <c r="F124" s="66"/>
    </row>
    <row r="125" spans="1:6">
      <c r="A125" s="30" t="s">
        <v>437</v>
      </c>
      <c r="B125" s="30" t="s">
        <v>438</v>
      </c>
      <c r="C125" s="30"/>
      <c r="D125" s="4"/>
      <c r="E125" s="66" t="str">
        <f t="shared" si="4"/>
        <v>5.2.156 - C/A INTA - Consultoría CIAT - FA</v>
      </c>
      <c r="F125" s="66"/>
    </row>
    <row r="126" spans="1:6">
      <c r="A126" s="30" t="s">
        <v>439</v>
      </c>
      <c r="B126" s="30" t="s">
        <v>440</v>
      </c>
      <c r="C126" s="30"/>
      <c r="D126" s="4"/>
      <c r="E126" s="66" t="str">
        <f t="shared" si="4"/>
        <v>5.2.157 - FAO - CDA MBGI Quimili</v>
      </c>
      <c r="F126" s="66"/>
    </row>
    <row r="127" spans="1:6">
      <c r="A127" s="30" t="s">
        <v>441</v>
      </c>
      <c r="B127" s="30" t="s">
        <v>442</v>
      </c>
      <c r="C127" s="30"/>
      <c r="D127" s="4"/>
      <c r="E127" s="66" t="str">
        <f t="shared" si="4"/>
        <v>5.2.158 - FAO - CDA MBGI INTA Chubut</v>
      </c>
      <c r="F127" s="66"/>
    </row>
    <row r="128" spans="1:6">
      <c r="A128" s="30" t="s">
        <v>443</v>
      </c>
      <c r="B128" s="30" t="s">
        <v>444</v>
      </c>
      <c r="E128" s="66" t="str">
        <f t="shared" si="4"/>
        <v>5.2.159 - FAO - CDA MBGI RIO 01 y 03-La Rioja</v>
      </c>
    </row>
    <row r="129" spans="1:5">
      <c r="A129" s="30" t="s">
        <v>445</v>
      </c>
      <c r="B129" s="30" t="s">
        <v>446</v>
      </c>
      <c r="E129" s="66" t="str">
        <f t="shared" si="4"/>
        <v>5.2.160 - FAO - CDA MBGI RIO 02 -La Rioja</v>
      </c>
    </row>
    <row r="130" spans="1:5">
      <c r="A130" s="30" t="s">
        <v>447</v>
      </c>
      <c r="B130" s="30" t="s">
        <v>448</v>
      </c>
      <c r="E130" s="66" t="str">
        <f t="shared" si="4"/>
        <v>5.2.161 - FAO - CDA PIC INTA Tucumán - Los Sotelo</v>
      </c>
    </row>
    <row r="131" spans="1:5">
      <c r="A131" s="30" t="s">
        <v>449</v>
      </c>
      <c r="B131" s="30" t="s">
        <v>450</v>
      </c>
      <c r="E131" s="66" t="str">
        <f t="shared" si="4"/>
        <v>5.2.162 - FAO - CDA PIC INTA SdE-Algarrobales</v>
      </c>
    </row>
    <row r="132" spans="1:5">
      <c r="A132" s="30" t="s">
        <v>451</v>
      </c>
      <c r="B132" s="30" t="s">
        <v>452</v>
      </c>
      <c r="E132" s="66" t="str">
        <f t="shared" si="4"/>
        <v>5.2.163 - 10.INA.SC.LH.PROY.1925</v>
      </c>
    </row>
    <row r="133" spans="1:5">
      <c r="A133" s="30" t="s">
        <v>453</v>
      </c>
      <c r="B133" s="30" t="s">
        <v>454</v>
      </c>
      <c r="E133" s="66" t="str">
        <f t="shared" si="4"/>
        <v>5.2.164 - FAO - CDA PIC INTA La Rioja-Ambil</v>
      </c>
    </row>
    <row r="134" spans="1:5">
      <c r="A134" s="30" t="s">
        <v>455</v>
      </c>
      <c r="B134" s="30" t="s">
        <v>456</v>
      </c>
      <c r="E134" s="66" t="str">
        <f t="shared" si="4"/>
        <v>5.2.165 - FAO - CDA PIC INTA La Rioja-La Aguadita</v>
      </c>
    </row>
    <row r="135" spans="1:5">
      <c r="A135" s="30" t="s">
        <v>457</v>
      </c>
      <c r="B135" s="30" t="s">
        <v>458</v>
      </c>
      <c r="E135" s="66" t="str">
        <f t="shared" si="4"/>
        <v>5.2.166 - CDA PIC INTA La Rioja - Los Bordos</v>
      </c>
    </row>
    <row r="136" spans="1:5">
      <c r="A136" s="30" t="s">
        <v>459</v>
      </c>
      <c r="B136" s="30" t="s">
        <v>460</v>
      </c>
      <c r="E136" s="66" t="str">
        <f t="shared" si="4"/>
        <v>5.2.167 - CDA PIC INTA Chubut - Lago Rosario y Sierra Colorada</v>
      </c>
    </row>
    <row r="137" spans="1:5">
      <c r="A137" s="30" t="s">
        <v>461</v>
      </c>
      <c r="B137" s="30" t="s">
        <v>462</v>
      </c>
      <c r="E137" s="66" t="str">
        <f t="shared" si="4"/>
        <v>5.2.168 - CDA PIC INTA La Rioja - La Cortada</v>
      </c>
    </row>
    <row r="138" spans="1:5">
      <c r="A138" s="30" t="s">
        <v>463</v>
      </c>
      <c r="B138" s="30" t="s">
        <v>464</v>
      </c>
      <c r="E138" s="66" t="str">
        <f t="shared" si="4"/>
        <v>5.2.169 - CDA PIC INTA Santiago del Estero- Santo Domingo PIC SDE 048</v>
      </c>
    </row>
    <row r="139" spans="1:5">
      <c r="A139" s="30" t="s">
        <v>465</v>
      </c>
      <c r="B139" s="30" t="s">
        <v>466</v>
      </c>
      <c r="E139" s="66" t="str">
        <f t="shared" si="4"/>
        <v>5.2.170 - CDA PIC INTA Sgo. del Estero- El Hoyo</v>
      </c>
    </row>
    <row r="140" spans="1:5">
      <c r="A140" s="30" t="s">
        <v>467</v>
      </c>
      <c r="B140" s="30" t="s">
        <v>468</v>
      </c>
      <c r="E140" s="66" t="str">
        <f t="shared" si="4"/>
        <v>5.2.171 - CDA PIC INTA Santiago del Estero- San Francisco</v>
      </c>
    </row>
    <row r="141" spans="1:5">
      <c r="A141" s="30" t="s">
        <v>469</v>
      </c>
      <c r="B141" s="30" t="s">
        <v>470</v>
      </c>
      <c r="E141" s="66" t="str">
        <f t="shared" si="4"/>
        <v>5.2.172 - CDA PIC INTA Chubut - El Turbio</v>
      </c>
    </row>
  </sheetData>
  <sheetProtection algorithmName="SHA-512" hashValue="laAaM3NNfvxMcAnjyPBNPuZKJ00hse21Q3t2BeMIUQX+BJI0aay0RcKjC9FQvIEsOROjNPnJuP7M4H2wWV89/g==" saltValue="KiXDJp5bqxHtCCN6oJcHIQ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88"/>
  <sheetViews>
    <sheetView workbookViewId="0">
      <pane ySplit="1" topLeftCell="A2" activePane="bottomLeft" state="frozen"/>
      <selection pane="bottomLeft" activeCell="B13" sqref="B13:E13"/>
    </sheetView>
  </sheetViews>
  <sheetFormatPr baseColWidth="10" defaultRowHeight="15"/>
  <cols>
    <col min="1" max="1" width="6" customWidth="1"/>
    <col min="2" max="5" width="20.28515625" customWidth="1"/>
    <col min="6" max="6" width="6" customWidth="1"/>
    <col min="7" max="10" width="20.28515625" customWidth="1"/>
  </cols>
  <sheetData>
    <row r="1" spans="1:10" ht="18.75">
      <c r="A1" s="1"/>
      <c r="B1" s="100" t="s">
        <v>213</v>
      </c>
      <c r="C1" s="101"/>
      <c r="D1" s="101"/>
      <c r="E1" s="102"/>
      <c r="F1" s="14"/>
      <c r="G1" s="100" t="s">
        <v>206</v>
      </c>
      <c r="H1" s="101"/>
      <c r="I1" s="101"/>
      <c r="J1" s="102"/>
    </row>
    <row r="2" spans="1:10">
      <c r="A2" s="1"/>
      <c r="B2" s="19"/>
      <c r="C2" s="17"/>
      <c r="D2" s="17"/>
      <c r="E2" s="13"/>
      <c r="F2" s="19"/>
      <c r="G2" s="19"/>
      <c r="H2" s="17"/>
      <c r="I2" s="17"/>
      <c r="J2" s="13"/>
    </row>
    <row r="3" spans="1:10" ht="48.75" customHeight="1">
      <c r="A3" s="1"/>
      <c r="B3" s="103" t="s">
        <v>211</v>
      </c>
      <c r="C3" s="104"/>
      <c r="D3" s="104"/>
      <c r="E3" s="105"/>
      <c r="F3" s="19"/>
      <c r="G3" s="103" t="s">
        <v>211</v>
      </c>
      <c r="H3" s="104"/>
      <c r="I3" s="104"/>
      <c r="J3" s="105"/>
    </row>
    <row r="4" spans="1:10">
      <c r="A4" s="1"/>
      <c r="B4" s="19"/>
      <c r="C4" s="17"/>
      <c r="D4" s="17"/>
      <c r="E4" s="13"/>
      <c r="F4" s="19"/>
      <c r="G4" s="19"/>
      <c r="H4" s="17"/>
      <c r="I4" s="17"/>
      <c r="J4" s="13"/>
    </row>
    <row r="5" spans="1:10" ht="30.75" customHeight="1">
      <c r="A5" s="1"/>
      <c r="B5" s="97" t="s">
        <v>212</v>
      </c>
      <c r="C5" s="98"/>
      <c r="D5" s="98"/>
      <c r="E5" s="99"/>
      <c r="F5" s="19"/>
      <c r="G5" s="97" t="s">
        <v>212</v>
      </c>
      <c r="H5" s="98"/>
      <c r="I5" s="98"/>
      <c r="J5" s="99"/>
    </row>
    <row r="6" spans="1:10">
      <c r="A6" s="1"/>
      <c r="B6" s="18"/>
      <c r="C6" s="1"/>
      <c r="D6" s="1"/>
      <c r="E6" s="8"/>
      <c r="F6" s="18"/>
      <c r="G6" s="18"/>
      <c r="H6" s="1"/>
      <c r="I6" s="1"/>
      <c r="J6" s="8"/>
    </row>
    <row r="7" spans="1:10">
      <c r="A7" s="1"/>
      <c r="B7" s="18" t="s">
        <v>214</v>
      </c>
      <c r="C7" s="1"/>
      <c r="D7" s="1"/>
      <c r="E7" s="8"/>
      <c r="F7" s="1"/>
      <c r="G7" s="18" t="s">
        <v>219</v>
      </c>
      <c r="H7" s="1"/>
      <c r="I7" s="1"/>
      <c r="J7" s="8"/>
    </row>
    <row r="8" spans="1:10" ht="28.5" customHeight="1">
      <c r="A8" s="1"/>
      <c r="B8" s="106" t="s">
        <v>215</v>
      </c>
      <c r="C8" s="87"/>
      <c r="D8" s="87"/>
      <c r="E8" s="107"/>
      <c r="F8" s="1"/>
      <c r="G8" s="88" t="s">
        <v>220</v>
      </c>
      <c r="H8" s="89"/>
      <c r="I8" s="89"/>
      <c r="J8" s="90"/>
    </row>
    <row r="9" spans="1:10" ht="53.25" customHeight="1">
      <c r="A9" s="1"/>
      <c r="B9" s="88" t="s">
        <v>216</v>
      </c>
      <c r="C9" s="89"/>
      <c r="D9" s="89"/>
      <c r="E9" s="90"/>
      <c r="F9" s="1"/>
      <c r="G9" s="88"/>
      <c r="H9" s="89"/>
      <c r="I9" s="89"/>
      <c r="J9" s="90"/>
    </row>
    <row r="10" spans="1:10">
      <c r="A10" s="1"/>
      <c r="B10" s="88" t="s">
        <v>217</v>
      </c>
      <c r="C10" s="89"/>
      <c r="D10" s="89"/>
      <c r="E10" s="90"/>
      <c r="F10" s="1"/>
      <c r="G10" s="88"/>
      <c r="H10" s="89"/>
      <c r="I10" s="89"/>
      <c r="J10" s="90"/>
    </row>
    <row r="11" spans="1:10" ht="9.75" customHeight="1">
      <c r="A11" s="1"/>
      <c r="B11" s="18"/>
      <c r="C11" s="1"/>
      <c r="D11" s="1"/>
      <c r="E11" s="8"/>
      <c r="F11" s="1"/>
      <c r="G11" s="18"/>
      <c r="H11" s="1"/>
      <c r="I11" s="1"/>
      <c r="J11" s="8"/>
    </row>
    <row r="12" spans="1:10">
      <c r="A12" s="1"/>
      <c r="B12" s="108" t="s">
        <v>202</v>
      </c>
      <c r="C12" s="109"/>
      <c r="D12" s="109"/>
      <c r="E12" s="110"/>
      <c r="F12" s="15"/>
      <c r="G12" s="108" t="s">
        <v>202</v>
      </c>
      <c r="H12" s="109"/>
      <c r="I12" s="109"/>
      <c r="J12" s="110"/>
    </row>
    <row r="13" spans="1:10" ht="30.75" customHeight="1">
      <c r="A13" s="1"/>
      <c r="B13" s="88" t="s">
        <v>208</v>
      </c>
      <c r="C13" s="89"/>
      <c r="D13" s="89"/>
      <c r="E13" s="90"/>
      <c r="F13" s="11"/>
      <c r="G13" s="91" t="s">
        <v>209</v>
      </c>
      <c r="H13" s="92"/>
      <c r="I13" s="92"/>
      <c r="J13" s="93"/>
    </row>
    <row r="14" spans="1:10" ht="60.75" customHeight="1">
      <c r="A14" s="1"/>
      <c r="B14" s="91" t="s">
        <v>203</v>
      </c>
      <c r="C14" s="92"/>
      <c r="D14" s="92"/>
      <c r="E14" s="93"/>
      <c r="F14" s="11"/>
      <c r="G14" s="91" t="s">
        <v>205</v>
      </c>
      <c r="H14" s="92"/>
      <c r="I14" s="92"/>
      <c r="J14" s="93"/>
    </row>
    <row r="15" spans="1:10" ht="59.25" customHeight="1">
      <c r="A15" s="1"/>
      <c r="B15" s="94" t="s">
        <v>207</v>
      </c>
      <c r="C15" s="95"/>
      <c r="D15" s="95"/>
      <c r="E15" s="96"/>
      <c r="F15" s="12"/>
      <c r="G15" s="91" t="s">
        <v>221</v>
      </c>
      <c r="H15" s="92"/>
      <c r="I15" s="92"/>
      <c r="J15" s="93"/>
    </row>
    <row r="16" spans="1:10" ht="15" customHeight="1">
      <c r="A16" s="1"/>
      <c r="B16" s="9"/>
      <c r="C16" s="20"/>
      <c r="D16" s="20"/>
      <c r="E16" s="10"/>
      <c r="F16" s="12"/>
      <c r="G16" s="94" t="s">
        <v>210</v>
      </c>
      <c r="H16" s="95"/>
      <c r="I16" s="95"/>
      <c r="J16" s="96"/>
    </row>
    <row r="17" spans="1:10" ht="15" customHeight="1">
      <c r="A17" s="1"/>
      <c r="B17" s="88" t="s">
        <v>204</v>
      </c>
      <c r="C17" s="89"/>
      <c r="D17" s="89"/>
      <c r="E17" s="90"/>
      <c r="F17" s="1"/>
      <c r="G17" s="94"/>
      <c r="H17" s="95"/>
      <c r="I17" s="95"/>
      <c r="J17" s="96"/>
    </row>
    <row r="18" spans="1:10" ht="50.25" customHeight="1">
      <c r="A18" s="1"/>
      <c r="B18" s="88"/>
      <c r="C18" s="89"/>
      <c r="D18" s="89"/>
      <c r="E18" s="90"/>
      <c r="F18" s="16"/>
      <c r="G18" s="94"/>
      <c r="H18" s="95"/>
      <c r="I18" s="95"/>
      <c r="J18" s="96"/>
    </row>
    <row r="19" spans="1:10" ht="32.25" customHeight="1">
      <c r="A19" s="1"/>
      <c r="B19" s="88" t="s">
        <v>218</v>
      </c>
      <c r="C19" s="89"/>
      <c r="D19" s="89"/>
      <c r="E19" s="90"/>
      <c r="F19" s="1"/>
      <c r="G19" s="91" t="s">
        <v>224</v>
      </c>
      <c r="H19" s="92"/>
      <c r="I19" s="92"/>
      <c r="J19" s="93"/>
    </row>
    <row r="20" spans="1:10" ht="15.75" thickBot="1">
      <c r="A20" s="1"/>
      <c r="B20" s="21"/>
      <c r="C20" s="22"/>
      <c r="D20" s="22"/>
      <c r="E20" s="23"/>
      <c r="F20" s="11"/>
      <c r="G20" s="88" t="s">
        <v>225</v>
      </c>
      <c r="H20" s="89"/>
      <c r="I20" s="89"/>
      <c r="J20" s="90"/>
    </row>
    <row r="21" spans="1:10" ht="15.75" thickTop="1">
      <c r="A21" s="1"/>
      <c r="B21" s="24"/>
      <c r="C21" s="24"/>
      <c r="D21" s="24"/>
      <c r="E21" s="24"/>
      <c r="F21" s="16"/>
      <c r="G21" s="18" t="s">
        <v>226</v>
      </c>
      <c r="H21" s="1"/>
      <c r="I21" s="1"/>
      <c r="J21" s="8"/>
    </row>
    <row r="22" spans="1:10" ht="29.25" customHeight="1">
      <c r="A22" s="1"/>
      <c r="B22" s="87"/>
      <c r="C22" s="87"/>
      <c r="D22" s="87"/>
      <c r="E22" s="87"/>
      <c r="F22" s="16"/>
      <c r="G22" s="106" t="s">
        <v>227</v>
      </c>
      <c r="H22" s="87"/>
      <c r="I22" s="87"/>
      <c r="J22" s="107"/>
    </row>
    <row r="23" spans="1:10">
      <c r="A23" s="1"/>
      <c r="B23" s="1"/>
      <c r="C23" s="1"/>
      <c r="D23" s="1"/>
      <c r="E23" s="1"/>
      <c r="F23" s="16"/>
      <c r="G23" s="106" t="s">
        <v>228</v>
      </c>
      <c r="H23" s="87"/>
      <c r="I23" s="87"/>
      <c r="J23" s="107"/>
    </row>
    <row r="24" spans="1:10" ht="15.75" thickBot="1">
      <c r="A24" s="1"/>
      <c r="B24" s="1"/>
      <c r="C24" s="1"/>
      <c r="D24" s="1"/>
      <c r="E24" s="1"/>
      <c r="F24" s="1"/>
      <c r="G24" s="25"/>
      <c r="H24" s="26"/>
      <c r="I24" s="26"/>
      <c r="J24" s="27"/>
    </row>
    <row r="25" spans="1:10" ht="15.75" thickTop="1">
      <c r="A25" s="1"/>
      <c r="B25" s="1"/>
      <c r="C25" s="1"/>
      <c r="D25" s="1"/>
      <c r="E25" s="1"/>
      <c r="F25" s="1"/>
      <c r="G25" s="1"/>
      <c r="H25" s="1"/>
      <c r="I25" s="1"/>
      <c r="J25" s="28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</row>
    <row r="61" spans="1:10">
      <c r="A61" s="1"/>
      <c r="B61" s="1"/>
      <c r="C61" s="1"/>
      <c r="D61" s="1"/>
      <c r="E61" s="1"/>
      <c r="F61" s="1"/>
    </row>
    <row r="62" spans="1:10">
      <c r="A62" s="1"/>
      <c r="B62" s="1"/>
      <c r="C62" s="1"/>
      <c r="D62" s="1"/>
      <c r="E62" s="1"/>
      <c r="F62" s="1"/>
    </row>
    <row r="63" spans="1:10">
      <c r="A63" s="1"/>
      <c r="F63" s="1"/>
    </row>
    <row r="64" spans="1:10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sheetProtection algorithmName="SHA-512" hashValue="zGfILJX4IxHNKfWW9NVwwoolehqevuIi2O3eGgNfxyxcZskYfJrALNXiGYGIznn3a6sKacW7vNgCVEmPFAHHYQ==" saltValue="DbeW98gAn1B3rJY5oaKi2w==" spinCount="100000" sheet="1" objects="1" scenarios="1"/>
  <mergeCells count="26">
    <mergeCell ref="B8:E8"/>
    <mergeCell ref="B9:E9"/>
    <mergeCell ref="B10:E10"/>
    <mergeCell ref="G8:J10"/>
    <mergeCell ref="G15:J15"/>
    <mergeCell ref="B12:E12"/>
    <mergeCell ref="G23:J23"/>
    <mergeCell ref="G12:J12"/>
    <mergeCell ref="G13:J13"/>
    <mergeCell ref="G14:J14"/>
    <mergeCell ref="G20:J20"/>
    <mergeCell ref="G22:J22"/>
    <mergeCell ref="G19:J19"/>
    <mergeCell ref="G16:J18"/>
    <mergeCell ref="B5:E5"/>
    <mergeCell ref="G5:J5"/>
    <mergeCell ref="B1:E1"/>
    <mergeCell ref="B3:E3"/>
    <mergeCell ref="G3:J3"/>
    <mergeCell ref="G1:J1"/>
    <mergeCell ref="B22:E22"/>
    <mergeCell ref="B13:E13"/>
    <mergeCell ref="B14:E14"/>
    <mergeCell ref="B15:E15"/>
    <mergeCell ref="B17:E18"/>
    <mergeCell ref="B19:E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topLeftCell="A34" workbookViewId="0">
      <selection activeCell="E15" sqref="E15:M16"/>
    </sheetView>
  </sheetViews>
  <sheetFormatPr baseColWidth="10" defaultColWidth="9.140625" defaultRowHeight="15"/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4" thickBot="1">
      <c r="A6" s="130" t="s">
        <v>272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2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 t="s">
        <v>273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18" t="s">
        <v>274</v>
      </c>
      <c r="B12" s="119"/>
      <c r="C12" s="119"/>
      <c r="D12" s="120"/>
      <c r="E12" s="133"/>
      <c r="F12" s="134"/>
      <c r="G12" s="134"/>
      <c r="H12" s="134"/>
      <c r="I12" s="134"/>
      <c r="J12" s="134"/>
      <c r="K12" s="134"/>
      <c r="L12" s="134"/>
      <c r="M12" s="135"/>
    </row>
    <row r="13" spans="1:13">
      <c r="A13" s="121"/>
      <c r="B13" s="122"/>
      <c r="C13" s="122"/>
      <c r="D13" s="123"/>
      <c r="E13" s="136"/>
      <c r="F13" s="137"/>
      <c r="G13" s="137"/>
      <c r="H13" s="137"/>
      <c r="I13" s="137"/>
      <c r="J13" s="137"/>
      <c r="K13" s="137"/>
      <c r="L13" s="137"/>
      <c r="M13" s="138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39" t="s">
        <v>275</v>
      </c>
      <c r="B15" s="140"/>
      <c r="C15" s="140"/>
      <c r="D15" s="141"/>
      <c r="E15" s="133"/>
      <c r="F15" s="134"/>
      <c r="G15" s="134"/>
      <c r="H15" s="134"/>
      <c r="I15" s="134"/>
      <c r="J15" s="134"/>
      <c r="K15" s="134"/>
      <c r="L15" s="134"/>
      <c r="M15" s="135"/>
    </row>
    <row r="16" spans="1:13">
      <c r="A16" s="142"/>
      <c r="B16" s="143"/>
      <c r="C16" s="143"/>
      <c r="D16" s="144"/>
      <c r="E16" s="136"/>
      <c r="F16" s="137"/>
      <c r="G16" s="137"/>
      <c r="H16" s="137"/>
      <c r="I16" s="137"/>
      <c r="J16" s="137"/>
      <c r="K16" s="137"/>
      <c r="L16" s="137"/>
      <c r="M16" s="138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18" t="s">
        <v>276</v>
      </c>
      <c r="B18" s="119"/>
      <c r="C18" s="119"/>
      <c r="D18" s="120"/>
      <c r="E18" s="124"/>
      <c r="F18" s="125"/>
      <c r="G18" s="125"/>
      <c r="H18" s="125"/>
      <c r="I18" s="125"/>
      <c r="J18" s="125"/>
      <c r="K18" s="125"/>
      <c r="L18" s="125"/>
      <c r="M18" s="126"/>
    </row>
    <row r="19" spans="1:13" ht="30" customHeight="1">
      <c r="A19" s="121"/>
      <c r="B19" s="122"/>
      <c r="C19" s="122"/>
      <c r="D19" s="123"/>
      <c r="E19" s="127"/>
      <c r="F19" s="128"/>
      <c r="G19" s="128"/>
      <c r="H19" s="128"/>
      <c r="I19" s="128"/>
      <c r="J19" s="128"/>
      <c r="K19" s="128"/>
      <c r="L19" s="128"/>
      <c r="M19" s="129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18" t="s">
        <v>277</v>
      </c>
      <c r="B21" s="119"/>
      <c r="C21" s="119"/>
      <c r="D21" s="120"/>
      <c r="E21" s="124"/>
      <c r="F21" s="125"/>
      <c r="G21" s="125"/>
      <c r="H21" s="125"/>
      <c r="I21" s="125"/>
      <c r="J21" s="125"/>
      <c r="K21" s="125"/>
      <c r="L21" s="125"/>
      <c r="M21" s="126"/>
    </row>
    <row r="22" spans="1:13">
      <c r="A22" s="121"/>
      <c r="B22" s="122"/>
      <c r="C22" s="122"/>
      <c r="D22" s="123"/>
      <c r="E22" s="127"/>
      <c r="F22" s="128"/>
      <c r="G22" s="128"/>
      <c r="H22" s="128"/>
      <c r="I22" s="128"/>
      <c r="J22" s="128"/>
      <c r="K22" s="128"/>
      <c r="L22" s="128"/>
      <c r="M22" s="129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18" t="s">
        <v>278</v>
      </c>
      <c r="B24" s="119"/>
      <c r="C24" s="119"/>
      <c r="D24" s="120"/>
      <c r="E24" s="124"/>
      <c r="F24" s="125"/>
      <c r="G24" s="125"/>
      <c r="H24" s="125"/>
      <c r="I24" s="125"/>
      <c r="J24" s="125"/>
      <c r="K24" s="125"/>
      <c r="L24" s="125"/>
      <c r="M24" s="126"/>
    </row>
    <row r="25" spans="1:13">
      <c r="A25" s="121"/>
      <c r="B25" s="122"/>
      <c r="C25" s="122"/>
      <c r="D25" s="123"/>
      <c r="E25" s="127"/>
      <c r="F25" s="128"/>
      <c r="G25" s="128"/>
      <c r="H25" s="128"/>
      <c r="I25" s="128"/>
      <c r="J25" s="128"/>
      <c r="K25" s="128"/>
      <c r="L25" s="128"/>
      <c r="M25" s="129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18" t="s">
        <v>279</v>
      </c>
      <c r="B27" s="119"/>
      <c r="C27" s="119"/>
      <c r="D27" s="120"/>
      <c r="E27" s="124"/>
      <c r="F27" s="125"/>
      <c r="G27" s="125"/>
      <c r="H27" s="125"/>
      <c r="I27" s="125"/>
      <c r="J27" s="125"/>
      <c r="K27" s="125"/>
      <c r="L27" s="125"/>
      <c r="M27" s="126"/>
    </row>
    <row r="28" spans="1:13" ht="30" customHeight="1">
      <c r="A28" s="121"/>
      <c r="B28" s="122"/>
      <c r="C28" s="122"/>
      <c r="D28" s="123"/>
      <c r="E28" s="127"/>
      <c r="F28" s="128"/>
      <c r="G28" s="128"/>
      <c r="H28" s="128"/>
      <c r="I28" s="128"/>
      <c r="J28" s="128"/>
      <c r="K28" s="128"/>
      <c r="L28" s="128"/>
      <c r="M28" s="129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18" t="s">
        <v>280</v>
      </c>
      <c r="B30" s="119"/>
      <c r="C30" s="119"/>
      <c r="D30" s="120"/>
      <c r="E30" s="124"/>
      <c r="F30" s="125"/>
      <c r="G30" s="125"/>
      <c r="H30" s="125"/>
      <c r="I30" s="125"/>
      <c r="J30" s="125"/>
      <c r="K30" s="125"/>
      <c r="L30" s="125"/>
      <c r="M30" s="126"/>
    </row>
    <row r="31" spans="1:13" ht="29.25" customHeight="1">
      <c r="A31" s="121"/>
      <c r="B31" s="122"/>
      <c r="C31" s="122"/>
      <c r="D31" s="123"/>
      <c r="E31" s="127"/>
      <c r="F31" s="128"/>
      <c r="G31" s="128"/>
      <c r="H31" s="128"/>
      <c r="I31" s="128"/>
      <c r="J31" s="128"/>
      <c r="K31" s="128"/>
      <c r="L31" s="128"/>
      <c r="M31" s="129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12" t="s">
        <v>281</v>
      </c>
      <c r="B33" s="113"/>
      <c r="C33" s="113"/>
      <c r="D33" s="114"/>
      <c r="E33" s="115"/>
      <c r="F33" s="116"/>
      <c r="G33" s="116"/>
      <c r="H33" s="116"/>
      <c r="I33" s="116"/>
      <c r="J33" s="116"/>
      <c r="K33" s="116"/>
      <c r="L33" s="116"/>
      <c r="M33" s="117"/>
    </row>
    <row r="34" spans="1:13">
      <c r="A34" s="112" t="s">
        <v>282</v>
      </c>
      <c r="B34" s="113"/>
      <c r="C34" s="113"/>
      <c r="D34" s="114"/>
      <c r="E34" s="115"/>
      <c r="F34" s="116"/>
      <c r="G34" s="116"/>
      <c r="H34" s="116"/>
      <c r="I34" s="116"/>
      <c r="J34" s="116"/>
      <c r="K34" s="116"/>
      <c r="L34" s="116"/>
      <c r="M34" s="117"/>
    </row>
    <row r="35" spans="1:13">
      <c r="A35" s="112" t="s">
        <v>283</v>
      </c>
      <c r="B35" s="113"/>
      <c r="C35" s="113"/>
      <c r="D35" s="114"/>
      <c r="E35" s="115"/>
      <c r="F35" s="116"/>
      <c r="G35" s="116"/>
      <c r="H35" s="116"/>
      <c r="I35" s="116"/>
      <c r="J35" s="116"/>
      <c r="K35" s="116"/>
      <c r="L35" s="116"/>
      <c r="M35" s="117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18" t="s">
        <v>284</v>
      </c>
      <c r="B37" s="119"/>
      <c r="C37" s="119"/>
      <c r="D37" s="120"/>
      <c r="E37" s="124"/>
      <c r="F37" s="125"/>
      <c r="G37" s="125"/>
      <c r="H37" s="125"/>
      <c r="I37" s="125"/>
      <c r="J37" s="125"/>
      <c r="K37" s="125"/>
      <c r="L37" s="125"/>
      <c r="M37" s="126"/>
    </row>
    <row r="38" spans="1:13" ht="30" customHeight="1">
      <c r="A38" s="121"/>
      <c r="B38" s="122"/>
      <c r="C38" s="122"/>
      <c r="D38" s="123"/>
      <c r="E38" s="127"/>
      <c r="F38" s="128"/>
      <c r="G38" s="128"/>
      <c r="H38" s="128"/>
      <c r="I38" s="128"/>
      <c r="J38" s="128"/>
      <c r="K38" s="128"/>
      <c r="L38" s="128"/>
      <c r="M38" s="129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18" t="s">
        <v>285</v>
      </c>
      <c r="B40" s="119"/>
      <c r="C40" s="119"/>
      <c r="D40" s="120"/>
      <c r="E40" s="124"/>
      <c r="F40" s="125"/>
      <c r="G40" s="125"/>
      <c r="H40" s="125"/>
      <c r="I40" s="125"/>
      <c r="J40" s="125"/>
      <c r="K40" s="125"/>
      <c r="L40" s="125"/>
      <c r="M40" s="126"/>
    </row>
    <row r="41" spans="1:13">
      <c r="A41" s="121"/>
      <c r="B41" s="122"/>
      <c r="C41" s="122"/>
      <c r="D41" s="123"/>
      <c r="E41" s="127"/>
      <c r="F41" s="128"/>
      <c r="G41" s="128"/>
      <c r="H41" s="128"/>
      <c r="I41" s="128"/>
      <c r="J41" s="128"/>
      <c r="K41" s="128"/>
      <c r="L41" s="128"/>
      <c r="M41" s="129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</row>
    <row r="44" spans="1:13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</row>
    <row r="45" spans="1:13">
      <c r="A45" s="1"/>
      <c r="B45" s="1" t="s">
        <v>286</v>
      </c>
      <c r="C45" s="1"/>
      <c r="D45" s="1"/>
      <c r="E45" s="1" t="s">
        <v>287</v>
      </c>
      <c r="F45" s="1"/>
      <c r="G45" s="1"/>
      <c r="H45" s="1"/>
      <c r="I45" s="1"/>
      <c r="J45" s="1" t="s">
        <v>288</v>
      </c>
      <c r="K45" s="1"/>
      <c r="L45" s="1"/>
      <c r="M45" s="1"/>
    </row>
    <row r="46" spans="1:13">
      <c r="A46" s="1"/>
      <c r="B46" s="1" t="s">
        <v>289</v>
      </c>
      <c r="C46" s="1"/>
      <c r="D46" s="1"/>
      <c r="E46" s="1"/>
      <c r="F46" s="1"/>
      <c r="G46" s="1"/>
      <c r="H46" s="1"/>
      <c r="I46" s="1"/>
      <c r="J46" s="1" t="s">
        <v>290</v>
      </c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</row>
    <row r="49" spans="1:13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</row>
    <row r="50" spans="1:13">
      <c r="A50" s="1" t="s">
        <v>291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 t="s">
        <v>292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 t="s">
        <v>293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27">
    <mergeCell ref="A18:D19"/>
    <mergeCell ref="E18:M19"/>
    <mergeCell ref="A6:M6"/>
    <mergeCell ref="A12:D13"/>
    <mergeCell ref="E12:M13"/>
    <mergeCell ref="A15:D16"/>
    <mergeCell ref="E15:M16"/>
    <mergeCell ref="A21:D22"/>
    <mergeCell ref="E21:M22"/>
    <mergeCell ref="A24:D25"/>
    <mergeCell ref="E24:M25"/>
    <mergeCell ref="A27:D28"/>
    <mergeCell ref="E27:M28"/>
    <mergeCell ref="A30:D31"/>
    <mergeCell ref="E30:M31"/>
    <mergeCell ref="A33:D33"/>
    <mergeCell ref="E33:M33"/>
    <mergeCell ref="A34:D34"/>
    <mergeCell ref="E34:M34"/>
    <mergeCell ref="A43:M44"/>
    <mergeCell ref="A48:M49"/>
    <mergeCell ref="A35:D35"/>
    <mergeCell ref="E35:M35"/>
    <mergeCell ref="A37:D38"/>
    <mergeCell ref="E37:M38"/>
    <mergeCell ref="A40:D41"/>
    <mergeCell ref="E40:M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topLeftCell="A19" workbookViewId="0">
      <selection activeCell="A12" sqref="A12"/>
    </sheetView>
  </sheetViews>
  <sheetFormatPr baseColWidth="10" defaultColWidth="9.140625" defaultRowHeight="15"/>
  <cols>
    <col min="1" max="1" width="37.42578125" customWidth="1"/>
    <col min="9" max="9" width="6.140625" customWidth="1"/>
  </cols>
  <sheetData>
    <row r="1" spans="1:9">
      <c r="A1" s="149"/>
      <c r="B1" s="149"/>
      <c r="C1" s="149"/>
      <c r="D1" s="149"/>
      <c r="E1" s="149"/>
      <c r="F1" s="149"/>
      <c r="G1" s="149"/>
      <c r="H1" s="149"/>
      <c r="I1" s="149"/>
    </row>
    <row r="2" spans="1:9">
      <c r="A2" s="149"/>
      <c r="B2" s="149"/>
      <c r="C2" s="149"/>
      <c r="D2" s="149"/>
      <c r="E2" s="149"/>
      <c r="F2" s="149"/>
      <c r="G2" s="149"/>
      <c r="H2" s="149"/>
      <c r="I2" s="149"/>
    </row>
    <row r="3" spans="1:9">
      <c r="A3" s="149"/>
      <c r="B3" s="149"/>
      <c r="C3" s="149"/>
      <c r="D3" s="149"/>
      <c r="E3" s="149"/>
      <c r="F3" s="149"/>
      <c r="G3" s="149"/>
      <c r="H3" s="149"/>
      <c r="I3" s="149"/>
    </row>
    <row r="4" spans="1:9" ht="15.75" thickBot="1">
      <c r="A4" s="152"/>
      <c r="B4" s="152"/>
      <c r="C4" s="152"/>
      <c r="D4" s="152"/>
      <c r="E4" s="152"/>
      <c r="F4" s="152"/>
      <c r="G4" s="152"/>
      <c r="H4" s="152"/>
      <c r="I4" s="152"/>
    </row>
    <row r="5" spans="1:9" ht="24" thickBot="1">
      <c r="A5" s="130" t="s">
        <v>294</v>
      </c>
      <c r="B5" s="131"/>
      <c r="C5" s="131"/>
      <c r="D5" s="131"/>
      <c r="E5" s="131"/>
      <c r="F5" s="131"/>
      <c r="G5" s="131"/>
      <c r="H5" s="131"/>
      <c r="I5" s="132"/>
    </row>
    <row r="6" spans="1:9">
      <c r="A6" s="111" t="s">
        <v>295</v>
      </c>
      <c r="B6" s="111"/>
      <c r="C6" s="111"/>
      <c r="D6" s="111"/>
      <c r="E6" s="111"/>
      <c r="F6" s="111"/>
      <c r="G6" s="111"/>
      <c r="H6" s="111"/>
      <c r="I6" s="111"/>
    </row>
    <row r="7" spans="1:9" s="31" customFormat="1">
      <c r="A7" s="153"/>
      <c r="B7" s="153"/>
      <c r="C7" s="153"/>
      <c r="D7" s="153"/>
      <c r="E7" s="153"/>
      <c r="F7" s="153"/>
      <c r="G7" s="153"/>
      <c r="H7" s="153"/>
      <c r="I7" s="153"/>
    </row>
    <row r="8" spans="1:9" ht="15.75" thickBot="1">
      <c r="A8" s="153"/>
      <c r="B8" s="153"/>
      <c r="C8" s="153"/>
      <c r="D8" s="153"/>
      <c r="E8" s="153"/>
      <c r="F8" s="153"/>
      <c r="G8" s="153"/>
      <c r="H8" s="153"/>
      <c r="I8" s="153"/>
    </row>
    <row r="9" spans="1:9" ht="15.75" thickBot="1">
      <c r="A9" s="32" t="s">
        <v>296</v>
      </c>
      <c r="B9" s="154"/>
      <c r="C9" s="155"/>
      <c r="D9" s="155"/>
      <c r="E9" s="155"/>
      <c r="F9" s="155"/>
      <c r="G9" s="155"/>
      <c r="H9" s="155"/>
      <c r="I9" s="155"/>
    </row>
    <row r="10" spans="1:9">
      <c r="A10" s="33" t="s">
        <v>297</v>
      </c>
      <c r="B10" s="145"/>
      <c r="C10" s="146"/>
      <c r="D10" s="146"/>
      <c r="E10" s="146"/>
      <c r="F10" s="146"/>
      <c r="G10" s="146"/>
      <c r="H10" s="146"/>
      <c r="I10" s="147"/>
    </row>
    <row r="11" spans="1:9">
      <c r="A11" s="4" t="s">
        <v>298</v>
      </c>
      <c r="B11" s="145"/>
      <c r="C11" s="146"/>
      <c r="D11" s="146"/>
      <c r="E11" s="146"/>
      <c r="F11" s="146"/>
      <c r="G11" s="146"/>
      <c r="H11" s="146"/>
      <c r="I11" s="147"/>
    </row>
    <row r="12" spans="1:9">
      <c r="A12" s="4" t="s">
        <v>299</v>
      </c>
      <c r="B12" s="145"/>
      <c r="C12" s="146"/>
      <c r="D12" s="146"/>
      <c r="E12" s="146"/>
      <c r="F12" s="146"/>
      <c r="G12" s="146"/>
      <c r="H12" s="146"/>
      <c r="I12" s="147"/>
    </row>
    <row r="13" spans="1:9">
      <c r="A13" s="148"/>
      <c r="B13" s="148"/>
      <c r="C13" s="148"/>
      <c r="D13" s="148"/>
      <c r="E13" s="148"/>
      <c r="F13" s="148"/>
      <c r="G13" s="148"/>
      <c r="H13" s="148"/>
      <c r="I13" s="148"/>
    </row>
    <row r="14" spans="1:9" ht="15.75" thickBot="1">
      <c r="A14" s="149"/>
      <c r="B14" s="149"/>
      <c r="C14" s="149"/>
      <c r="D14" s="149"/>
      <c r="E14" s="149"/>
      <c r="F14" s="149"/>
      <c r="G14" s="149"/>
      <c r="H14" s="149"/>
      <c r="I14" s="149"/>
    </row>
    <row r="15" spans="1:9" ht="15.75" thickBot="1">
      <c r="A15" s="32" t="s">
        <v>300</v>
      </c>
      <c r="B15" s="150"/>
      <c r="C15" s="151"/>
      <c r="D15" s="151"/>
      <c r="E15" s="151"/>
      <c r="F15" s="151"/>
      <c r="G15" s="151"/>
      <c r="H15" s="151"/>
      <c r="I15" s="151"/>
    </row>
    <row r="16" spans="1:9">
      <c r="A16" s="33" t="s">
        <v>301</v>
      </c>
      <c r="B16" s="145"/>
      <c r="C16" s="146"/>
      <c r="D16" s="146"/>
      <c r="E16" s="146"/>
      <c r="F16" s="146"/>
      <c r="G16" s="146"/>
      <c r="H16" s="146"/>
      <c r="I16" s="147"/>
    </row>
    <row r="17" spans="1:9">
      <c r="A17" s="33" t="s">
        <v>302</v>
      </c>
      <c r="B17" s="145"/>
      <c r="C17" s="146"/>
      <c r="D17" s="146"/>
      <c r="E17" s="146"/>
      <c r="F17" s="146"/>
      <c r="G17" s="146"/>
      <c r="H17" s="146"/>
      <c r="I17" s="147"/>
    </row>
    <row r="18" spans="1:9">
      <c r="A18" s="33" t="s">
        <v>303</v>
      </c>
      <c r="B18" s="145"/>
      <c r="C18" s="146"/>
      <c r="D18" s="146"/>
      <c r="E18" s="146"/>
      <c r="F18" s="146"/>
      <c r="G18" s="146"/>
      <c r="H18" s="146"/>
      <c r="I18" s="147"/>
    </row>
    <row r="19" spans="1:9">
      <c r="A19" s="33" t="s">
        <v>304</v>
      </c>
      <c r="B19" s="145"/>
      <c r="C19" s="146"/>
      <c r="D19" s="146"/>
      <c r="E19" s="146"/>
      <c r="F19" s="146"/>
      <c r="G19" s="146"/>
      <c r="H19" s="146"/>
      <c r="I19" s="147"/>
    </row>
    <row r="20" spans="1:9">
      <c r="A20" s="33" t="s">
        <v>305</v>
      </c>
      <c r="B20" s="145"/>
      <c r="C20" s="146"/>
      <c r="D20" s="146"/>
      <c r="E20" s="146"/>
      <c r="F20" s="146"/>
      <c r="G20" s="146"/>
      <c r="H20" s="146"/>
      <c r="I20" s="147"/>
    </row>
    <row r="21" spans="1:9">
      <c r="A21" s="33" t="s">
        <v>306</v>
      </c>
      <c r="B21" s="145"/>
      <c r="C21" s="146"/>
      <c r="D21" s="146"/>
      <c r="E21" s="146"/>
      <c r="F21" s="146"/>
      <c r="G21" s="146"/>
      <c r="H21" s="146"/>
      <c r="I21" s="147"/>
    </row>
    <row r="22" spans="1:9">
      <c r="A22" s="33" t="s">
        <v>307</v>
      </c>
      <c r="B22" s="145"/>
      <c r="C22" s="146"/>
      <c r="D22" s="146"/>
      <c r="E22" s="146"/>
      <c r="F22" s="146"/>
      <c r="G22" s="146"/>
      <c r="H22" s="146"/>
      <c r="I22" s="147"/>
    </row>
    <row r="23" spans="1:9">
      <c r="A23" s="33" t="s">
        <v>308</v>
      </c>
      <c r="B23" s="145"/>
      <c r="C23" s="146"/>
      <c r="D23" s="146"/>
      <c r="E23" s="146"/>
      <c r="F23" s="146"/>
      <c r="G23" s="146"/>
      <c r="H23" s="146"/>
      <c r="I23" s="147"/>
    </row>
    <row r="24" spans="1:9">
      <c r="A24" s="33" t="s">
        <v>314</v>
      </c>
      <c r="B24" s="145"/>
      <c r="C24" s="146"/>
      <c r="D24" s="146"/>
      <c r="E24" s="146"/>
      <c r="F24" s="146"/>
      <c r="G24" s="146"/>
      <c r="H24" s="146"/>
      <c r="I24" s="147"/>
    </row>
    <row r="25" spans="1:9">
      <c r="A25" s="33" t="s">
        <v>315</v>
      </c>
      <c r="B25" s="145"/>
      <c r="C25" s="146"/>
      <c r="D25" s="146"/>
      <c r="E25" s="146"/>
      <c r="F25" s="146"/>
      <c r="G25" s="146"/>
      <c r="H25" s="146"/>
      <c r="I25" s="147"/>
    </row>
    <row r="26" spans="1:9">
      <c r="A26" s="148"/>
      <c r="B26" s="148"/>
      <c r="C26" s="148"/>
      <c r="D26" s="148"/>
      <c r="E26" s="148"/>
      <c r="F26" s="148"/>
      <c r="G26" s="148"/>
      <c r="H26" s="148"/>
      <c r="I26" s="148"/>
    </row>
    <row r="27" spans="1:9">
      <c r="A27" s="149"/>
      <c r="B27" s="149"/>
      <c r="C27" s="149"/>
      <c r="D27" s="149"/>
      <c r="E27" s="149"/>
      <c r="F27" s="149"/>
      <c r="G27" s="149"/>
      <c r="H27" s="149"/>
      <c r="I27" s="149"/>
    </row>
    <row r="28" spans="1:9">
      <c r="A28" s="149"/>
      <c r="B28" s="149"/>
      <c r="C28" s="149"/>
      <c r="D28" s="149"/>
      <c r="E28" s="149"/>
      <c r="F28" s="149"/>
      <c r="G28" s="149"/>
      <c r="H28" s="149"/>
      <c r="I28" s="149"/>
    </row>
    <row r="29" spans="1:9">
      <c r="A29" s="149"/>
      <c r="B29" s="149"/>
      <c r="C29" s="149"/>
      <c r="D29" s="149"/>
      <c r="E29" s="149"/>
      <c r="F29" s="149"/>
      <c r="G29" s="149"/>
      <c r="H29" s="149"/>
      <c r="I29" s="149"/>
    </row>
    <row r="30" spans="1:9">
      <c r="A30" s="111" t="s">
        <v>309</v>
      </c>
      <c r="B30" s="111"/>
      <c r="C30" s="111"/>
      <c r="D30" s="111"/>
      <c r="E30" s="111"/>
      <c r="F30" s="111"/>
      <c r="G30" s="111"/>
      <c r="H30" s="111"/>
      <c r="I30" s="111"/>
    </row>
    <row r="31" spans="1:9">
      <c r="A31" s="111" t="s">
        <v>310</v>
      </c>
      <c r="B31" s="111"/>
      <c r="C31" s="111"/>
      <c r="D31" s="111"/>
      <c r="E31" s="111"/>
      <c r="F31" s="111"/>
      <c r="G31" s="111"/>
      <c r="H31" s="111"/>
      <c r="I31" s="111"/>
    </row>
    <row r="32" spans="1:9">
      <c r="A32" s="111"/>
      <c r="B32" s="111"/>
      <c r="C32" s="111"/>
      <c r="D32" s="111"/>
      <c r="E32" s="111"/>
      <c r="F32" s="111"/>
      <c r="G32" s="111"/>
      <c r="H32" s="111"/>
      <c r="I32" s="111"/>
    </row>
    <row r="33" spans="1:9">
      <c r="A33" s="111"/>
      <c r="B33" s="111"/>
      <c r="C33" s="111"/>
      <c r="D33" s="111"/>
      <c r="E33" s="111"/>
      <c r="F33" s="111"/>
      <c r="G33" s="111"/>
      <c r="H33" s="111"/>
      <c r="I33" s="111"/>
    </row>
    <row r="34" spans="1:9">
      <c r="A34" s="111" t="s">
        <v>316</v>
      </c>
      <c r="B34" s="111"/>
      <c r="C34" s="111"/>
      <c r="D34" s="111"/>
      <c r="E34" s="111"/>
      <c r="F34" s="111"/>
      <c r="G34" s="111"/>
      <c r="H34" s="111"/>
      <c r="I34" s="111"/>
    </row>
    <row r="35" spans="1:9">
      <c r="A35" s="111"/>
      <c r="B35" s="111"/>
      <c r="C35" s="111"/>
      <c r="D35" s="111"/>
      <c r="E35" s="111"/>
      <c r="F35" s="111"/>
      <c r="G35" s="111"/>
      <c r="H35" s="111"/>
      <c r="I35" s="111"/>
    </row>
    <row r="36" spans="1:9">
      <c r="A36" s="111"/>
      <c r="B36" s="111"/>
      <c r="C36" s="111"/>
      <c r="D36" s="111"/>
      <c r="E36" s="111"/>
      <c r="F36" s="111"/>
      <c r="G36" s="111"/>
      <c r="H36" s="111"/>
      <c r="I36" s="111"/>
    </row>
    <row r="37" spans="1:9">
      <c r="A37" s="111"/>
      <c r="B37" s="111"/>
      <c r="C37" s="111"/>
      <c r="D37" s="111"/>
      <c r="E37" s="111"/>
      <c r="F37" s="111"/>
      <c r="G37" s="111"/>
      <c r="H37" s="111"/>
      <c r="I37" s="111"/>
    </row>
    <row r="38" spans="1:9">
      <c r="A38" s="111"/>
      <c r="B38" s="111"/>
      <c r="C38" s="111"/>
      <c r="D38" s="111"/>
      <c r="E38" s="111"/>
      <c r="F38" s="111"/>
      <c r="G38" s="111"/>
      <c r="H38" s="111"/>
      <c r="I38" s="111"/>
    </row>
    <row r="39" spans="1:9">
      <c r="A39" s="109" t="s">
        <v>311</v>
      </c>
      <c r="B39" s="109"/>
      <c r="C39" s="109"/>
      <c r="D39" s="109"/>
      <c r="E39" s="109"/>
      <c r="F39" s="109"/>
      <c r="G39" s="109"/>
      <c r="H39" s="109"/>
      <c r="I39" s="109"/>
    </row>
    <row r="40" spans="1:9">
      <c r="A40" s="1" t="s">
        <v>312</v>
      </c>
      <c r="B40" s="1"/>
      <c r="C40" s="1"/>
      <c r="D40" s="1"/>
      <c r="E40" s="1"/>
      <c r="F40" s="1"/>
      <c r="G40" s="1"/>
      <c r="H40" s="1"/>
      <c r="I40" s="1"/>
    </row>
    <row r="41" spans="1:9">
      <c r="A41" s="1" t="s">
        <v>313</v>
      </c>
      <c r="B41" s="1"/>
      <c r="C41" s="1"/>
      <c r="D41" s="1"/>
      <c r="E41" s="1"/>
      <c r="F41" s="1"/>
      <c r="G41" s="1"/>
      <c r="H41" s="1"/>
      <c r="I41" s="1"/>
    </row>
  </sheetData>
  <mergeCells count="27">
    <mergeCell ref="B10:I10"/>
    <mergeCell ref="A1:I4"/>
    <mergeCell ref="A5:I5"/>
    <mergeCell ref="A6:I6"/>
    <mergeCell ref="A7:I8"/>
    <mergeCell ref="B9:I9"/>
    <mergeCell ref="B23:I23"/>
    <mergeCell ref="B11:I11"/>
    <mergeCell ref="B12:I12"/>
    <mergeCell ref="A13:I14"/>
    <mergeCell ref="B15:I15"/>
    <mergeCell ref="B16:I16"/>
    <mergeCell ref="B17:I17"/>
    <mergeCell ref="B18:I18"/>
    <mergeCell ref="B19:I19"/>
    <mergeCell ref="B20:I20"/>
    <mergeCell ref="B21:I21"/>
    <mergeCell ref="B22:I22"/>
    <mergeCell ref="A34:I34"/>
    <mergeCell ref="A35:I38"/>
    <mergeCell ref="A39:I39"/>
    <mergeCell ref="B24:I24"/>
    <mergeCell ref="B25:I25"/>
    <mergeCell ref="A26:I29"/>
    <mergeCell ref="A30:I30"/>
    <mergeCell ref="A31:I31"/>
    <mergeCell ref="A32:I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workbookViewId="0">
      <selection activeCell="H16" sqref="H16"/>
    </sheetView>
  </sheetViews>
  <sheetFormatPr baseColWidth="10" defaultRowHeight="15"/>
  <cols>
    <col min="1" max="1" width="16" customWidth="1"/>
    <col min="3" max="3" width="42.140625" customWidth="1"/>
    <col min="4" max="4" width="19" customWidth="1"/>
  </cols>
  <sheetData>
    <row r="1" spans="1:5">
      <c r="A1" t="s">
        <v>100</v>
      </c>
    </row>
    <row r="3" spans="1:5" ht="45">
      <c r="A3" s="2" t="s">
        <v>101</v>
      </c>
    </row>
    <row r="4" spans="1:5">
      <c r="A4" t="s">
        <v>102</v>
      </c>
      <c r="C4" t="s">
        <v>103</v>
      </c>
      <c r="E4" s="3" t="s">
        <v>104</v>
      </c>
    </row>
    <row r="5" spans="1:5">
      <c r="A5" s="4" t="s">
        <v>105</v>
      </c>
      <c r="C5" t="s">
        <v>106</v>
      </c>
      <c r="E5" s="3" t="s">
        <v>107</v>
      </c>
    </row>
    <row r="6" spans="1:5">
      <c r="A6" s="4" t="s">
        <v>1</v>
      </c>
      <c r="C6" t="s">
        <v>108</v>
      </c>
      <c r="E6" s="3" t="s">
        <v>109</v>
      </c>
    </row>
    <row r="7" spans="1:5">
      <c r="A7" s="4" t="s">
        <v>110</v>
      </c>
      <c r="C7" t="s">
        <v>111</v>
      </c>
    </row>
    <row r="8" spans="1:5">
      <c r="A8" s="4" t="s">
        <v>112</v>
      </c>
      <c r="C8" t="s">
        <v>113</v>
      </c>
      <c r="E8" s="3" t="s">
        <v>114</v>
      </c>
    </row>
    <row r="9" spans="1:5">
      <c r="A9" s="4" t="s">
        <v>115</v>
      </c>
      <c r="C9" t="s">
        <v>116</v>
      </c>
      <c r="E9" s="3" t="s">
        <v>117</v>
      </c>
    </row>
    <row r="10" spans="1:5">
      <c r="A10" s="4" t="s">
        <v>118</v>
      </c>
      <c r="C10" t="s">
        <v>119</v>
      </c>
      <c r="E10" s="3" t="s">
        <v>323</v>
      </c>
    </row>
    <row r="11" spans="1:5">
      <c r="A11" s="4" t="s">
        <v>121</v>
      </c>
      <c r="C11" t="s">
        <v>122</v>
      </c>
      <c r="E11" s="3" t="s">
        <v>120</v>
      </c>
    </row>
    <row r="12" spans="1:5">
      <c r="A12" s="4" t="s">
        <v>124</v>
      </c>
      <c r="C12" t="s">
        <v>125</v>
      </c>
      <c r="E12" s="3" t="s">
        <v>123</v>
      </c>
    </row>
    <row r="13" spans="1:5">
      <c r="A13" s="4" t="s">
        <v>127</v>
      </c>
      <c r="C13" t="s">
        <v>128</v>
      </c>
      <c r="E13" s="3" t="s">
        <v>126</v>
      </c>
    </row>
    <row r="14" spans="1:5">
      <c r="A14" s="4" t="s">
        <v>129</v>
      </c>
      <c r="C14" t="s">
        <v>130</v>
      </c>
    </row>
    <row r="15" spans="1:5">
      <c r="A15" s="4" t="s">
        <v>131</v>
      </c>
      <c r="C15" t="s">
        <v>132</v>
      </c>
      <c r="E15" s="7" t="s">
        <v>193</v>
      </c>
    </row>
    <row r="16" spans="1:5">
      <c r="A16" s="4" t="s">
        <v>133</v>
      </c>
      <c r="C16" t="s">
        <v>134</v>
      </c>
      <c r="E16" s="7" t="s">
        <v>200</v>
      </c>
    </row>
    <row r="17" spans="1:3">
      <c r="A17" s="4" t="s">
        <v>135</v>
      </c>
      <c r="C17" t="s">
        <v>136</v>
      </c>
    </row>
    <row r="18" spans="1:3">
      <c r="A18" s="4" t="s">
        <v>137</v>
      </c>
      <c r="C18" t="s">
        <v>138</v>
      </c>
    </row>
    <row r="19" spans="1:3">
      <c r="A19" s="4" t="s">
        <v>139</v>
      </c>
      <c r="C19" t="s">
        <v>140</v>
      </c>
    </row>
    <row r="20" spans="1:3" ht="30">
      <c r="A20" s="4" t="s">
        <v>141</v>
      </c>
      <c r="C20" s="5" t="s">
        <v>142</v>
      </c>
    </row>
    <row r="21" spans="1:3">
      <c r="A21" s="4" t="s">
        <v>143</v>
      </c>
      <c r="C21" t="s">
        <v>144</v>
      </c>
    </row>
    <row r="22" spans="1:3">
      <c r="A22" s="4" t="s">
        <v>145</v>
      </c>
      <c r="C22" t="s">
        <v>146</v>
      </c>
    </row>
    <row r="23" spans="1:3">
      <c r="A23" s="4" t="s">
        <v>147</v>
      </c>
      <c r="C23" t="s">
        <v>148</v>
      </c>
    </row>
    <row r="24" spans="1:3">
      <c r="A24" s="4" t="s">
        <v>149</v>
      </c>
      <c r="C24" t="s">
        <v>150</v>
      </c>
    </row>
    <row r="25" spans="1:3">
      <c r="A25" s="4" t="s">
        <v>151</v>
      </c>
      <c r="C25" t="s">
        <v>152</v>
      </c>
    </row>
    <row r="26" spans="1:3">
      <c r="A26" s="4" t="s">
        <v>153</v>
      </c>
      <c r="C26" t="s">
        <v>154</v>
      </c>
    </row>
    <row r="27" spans="1:3">
      <c r="A27" s="4" t="s">
        <v>155</v>
      </c>
      <c r="C27" t="s">
        <v>156</v>
      </c>
    </row>
    <row r="28" spans="1:3">
      <c r="A28" s="4" t="s">
        <v>157</v>
      </c>
      <c r="C28" t="s">
        <v>158</v>
      </c>
    </row>
    <row r="29" spans="1:3">
      <c r="A29" s="4" t="s">
        <v>159</v>
      </c>
      <c r="C29" t="s">
        <v>97</v>
      </c>
    </row>
    <row r="30" spans="1:3">
      <c r="A30" s="4" t="s">
        <v>160</v>
      </c>
      <c r="C30" t="s">
        <v>161</v>
      </c>
    </row>
    <row r="31" spans="1:3">
      <c r="A31" s="4" t="s">
        <v>162</v>
      </c>
      <c r="C31" t="s">
        <v>163</v>
      </c>
    </row>
    <row r="32" spans="1:3">
      <c r="C32" t="s">
        <v>164</v>
      </c>
    </row>
    <row r="33" spans="3:3">
      <c r="C33" s="6" t="s">
        <v>165</v>
      </c>
    </row>
    <row r="34" spans="3:3">
      <c r="C34" s="6" t="s">
        <v>166</v>
      </c>
    </row>
    <row r="35" spans="3:3">
      <c r="C35" t="s">
        <v>11</v>
      </c>
    </row>
    <row r="36" spans="3:3">
      <c r="C36" t="s">
        <v>167</v>
      </c>
    </row>
    <row r="37" spans="3:3">
      <c r="C37" t="s">
        <v>168</v>
      </c>
    </row>
    <row r="38" spans="3:3">
      <c r="C38" t="s">
        <v>169</v>
      </c>
    </row>
    <row r="39" spans="3:3">
      <c r="C39" s="6" t="s">
        <v>170</v>
      </c>
    </row>
    <row r="40" spans="3:3">
      <c r="C40" s="6" t="s">
        <v>171</v>
      </c>
    </row>
    <row r="41" spans="3:3">
      <c r="C41" t="s">
        <v>172</v>
      </c>
    </row>
    <row r="42" spans="3:3">
      <c r="C42" t="s">
        <v>173</v>
      </c>
    </row>
  </sheetData>
  <sheetProtection algorithmName="SHA-512" hashValue="7ZzNVMYQDv6RFdwl53/V6S96Cd21nPxBp8LbxtCPYKxpq0xJgal9vXqWo2cvqxKzPwCWuP/iFDiyGMsEyB2VmA==" saltValue="QtWo1tvNr9yDSD7iGzWBDQ==" spinCount="100000" sheet="1" objects="1" scenarios="1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Formulario de Reintegro</vt:lpstr>
      <vt:lpstr>Listado</vt:lpstr>
      <vt:lpstr>Info Relevante</vt:lpstr>
      <vt:lpstr>Informe de Actividades</vt:lpstr>
      <vt:lpstr>Ficha Ident. Financiera</vt:lpstr>
      <vt:lpstr>Tablas</vt:lpstr>
      <vt:lpstr>comp</vt:lpstr>
      <vt:lpstr>tabla</vt:lpstr>
    </vt:vector>
  </TitlesOfParts>
  <Company>Fundacion ArgenINTA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Fernandez</dc:creator>
  <cp:lastModifiedBy>Catalina Gutierrez</cp:lastModifiedBy>
  <dcterms:created xsi:type="dcterms:W3CDTF">2022-12-15T11:51:18Z</dcterms:created>
  <dcterms:modified xsi:type="dcterms:W3CDTF">2026-02-24T14:17:41Z</dcterms:modified>
</cp:coreProperties>
</file>